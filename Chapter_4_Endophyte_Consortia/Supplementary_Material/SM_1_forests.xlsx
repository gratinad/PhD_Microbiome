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\Desktop\Doutoramento\Artigos\Artigo_Isolamento-germinação\Documentos\2025\March\Forests\"/>
    </mc:Choice>
  </mc:AlternateContent>
  <xr:revisionPtr revIDLastSave="0" documentId="13_ncr:1_{47B2F004-B5AB-42B5-8EBD-F7900C2BDB71}" xr6:coauthVersionLast="47" xr6:coauthVersionMax="47" xr10:uidLastSave="{00000000-0000-0000-0000-000000000000}"/>
  <bookViews>
    <workbookView xWindow="-108" yWindow="-108" windowWidth="23256" windowHeight="12456" xr2:uid="{E27ACA29-87E9-4437-949B-4FDF17C60E71}"/>
  </bookViews>
  <sheets>
    <sheet name="Supplementary Table 1.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11" i="2"/>
</calcChain>
</file>

<file path=xl/sharedStrings.xml><?xml version="1.0" encoding="utf-8"?>
<sst xmlns="http://schemas.openxmlformats.org/spreadsheetml/2006/main" count="771" uniqueCount="373">
  <si>
    <t>Plant growth promotion traits</t>
  </si>
  <si>
    <t>Closest Relative</t>
  </si>
  <si>
    <t>pb</t>
  </si>
  <si>
    <t>Similarity</t>
  </si>
  <si>
    <t>Phyla</t>
  </si>
  <si>
    <t>Family</t>
  </si>
  <si>
    <t>Genera</t>
  </si>
  <si>
    <t>Strains</t>
  </si>
  <si>
    <t>Phosphate</t>
  </si>
  <si>
    <t>Siderophores</t>
  </si>
  <si>
    <t>ACC</t>
  </si>
  <si>
    <t>Moraxellaceae</t>
  </si>
  <si>
    <t>Micrococcaceae</t>
  </si>
  <si>
    <t>Micrococcus</t>
  </si>
  <si>
    <t>Micrococcus yunnaensis</t>
  </si>
  <si>
    <t>Paenibacillaceae</t>
  </si>
  <si>
    <t>Paenibacillus</t>
  </si>
  <si>
    <t>Paracoccus yeei</t>
  </si>
  <si>
    <t>Rhodobacteraceae</t>
  </si>
  <si>
    <t>Paracoccus</t>
  </si>
  <si>
    <t>Bacillaceae</t>
  </si>
  <si>
    <t>Bacillus</t>
  </si>
  <si>
    <t>Streptomyces rubrisoli</t>
  </si>
  <si>
    <t>Streptomycetaceae</t>
  </si>
  <si>
    <t>Streptomyces</t>
  </si>
  <si>
    <t>Paenibacillus lautus</t>
  </si>
  <si>
    <t>Planococcaceae</t>
  </si>
  <si>
    <t>Paraburkholderia sediminicola</t>
  </si>
  <si>
    <t>Burkholderiaceae</t>
  </si>
  <si>
    <t>Paraburkholderia</t>
  </si>
  <si>
    <t>Bacillus cereus</t>
  </si>
  <si>
    <t>Caballeronia udeis</t>
  </si>
  <si>
    <t>Caballeronia</t>
  </si>
  <si>
    <t>Acinetobacter</t>
  </si>
  <si>
    <t>Erwiniaceae</t>
  </si>
  <si>
    <t>Labrys wisconsinensis</t>
  </si>
  <si>
    <t>Xanthobacteraceae</t>
  </si>
  <si>
    <t>Labrys</t>
  </si>
  <si>
    <t>R.M1R1</t>
  </si>
  <si>
    <t>R.M1R10</t>
  </si>
  <si>
    <t>Sphingomonas formosensis</t>
  </si>
  <si>
    <t>Sphingomonadaceae</t>
  </si>
  <si>
    <t>Sphingomonas</t>
  </si>
  <si>
    <t>R.M1R12</t>
  </si>
  <si>
    <t>R.M1R13</t>
  </si>
  <si>
    <t>Mesorhizobium qingshengii</t>
  </si>
  <si>
    <t>Phyllobacteriaceae</t>
  </si>
  <si>
    <t>Mesorhizobium</t>
  </si>
  <si>
    <t>R.M1R2</t>
  </si>
  <si>
    <t>R.M1R3</t>
  </si>
  <si>
    <t>R.M1R4</t>
  </si>
  <si>
    <t>Caulobacter henricii</t>
  </si>
  <si>
    <t>Caulobacteraceae</t>
  </si>
  <si>
    <t>Caulobacter</t>
  </si>
  <si>
    <t>R.M1R5</t>
  </si>
  <si>
    <t>Rhizobium lusitanum</t>
  </si>
  <si>
    <t>Rhizobiaceae</t>
  </si>
  <si>
    <t>Rhizobium</t>
  </si>
  <si>
    <t>R.M1R6</t>
  </si>
  <si>
    <t>R.M1R7</t>
  </si>
  <si>
    <t>Variovorax soli</t>
  </si>
  <si>
    <t>Comamonadaceae</t>
  </si>
  <si>
    <t>Variovorax</t>
  </si>
  <si>
    <t>R.M1R8</t>
  </si>
  <si>
    <t>Rhizobium rhizogenes</t>
  </si>
  <si>
    <t>R.M2R1</t>
  </si>
  <si>
    <t>Pseudoxanthomonas spadix</t>
  </si>
  <si>
    <t>Xanthomonadaceae</t>
  </si>
  <si>
    <t>Pseudoxanthomonas</t>
  </si>
  <si>
    <t>R.M2R4</t>
  </si>
  <si>
    <t>Pantoea coffeiphila/Erwinia endophytica</t>
  </si>
  <si>
    <t>97.14%/97.14%</t>
  </si>
  <si>
    <t>Pantoea/Erwinia</t>
  </si>
  <si>
    <t>R.M2R5</t>
  </si>
  <si>
    <t>R.M2R6</t>
  </si>
  <si>
    <t>Bacillus simplex</t>
  </si>
  <si>
    <t>R.M2R7</t>
  </si>
  <si>
    <t>R.M2R8</t>
  </si>
  <si>
    <t>R.M2R9</t>
  </si>
  <si>
    <t>Paenibacillus cineris</t>
  </si>
  <si>
    <t>R.M3R1</t>
  </si>
  <si>
    <t>Brevibacterium frigoritolerans </t>
  </si>
  <si>
    <t>Brevibacteriaceae</t>
  </si>
  <si>
    <t>Brevibacterium</t>
  </si>
  <si>
    <t>R.M3R2</t>
  </si>
  <si>
    <t>R.M3R3</t>
  </si>
  <si>
    <t>R.M3R4</t>
  </si>
  <si>
    <t>Paenibacillus periandrae</t>
  </si>
  <si>
    <t>R.M3R5</t>
  </si>
  <si>
    <t>Paenibacillus selenitireducens</t>
  </si>
  <si>
    <t>R.M4R1</t>
  </si>
  <si>
    <t>Bacillus weihenstephanensis/mycoides</t>
  </si>
  <si>
    <t>100%/100%</t>
  </si>
  <si>
    <t>R.M5R1</t>
  </si>
  <si>
    <t>Variovorax gossypii</t>
  </si>
  <si>
    <t>R.M5R10</t>
  </si>
  <si>
    <t>Paenibacillus vulneris</t>
  </si>
  <si>
    <t>R.M5R11</t>
  </si>
  <si>
    <t>Caballeronia megalochromosomata</t>
  </si>
  <si>
    <t>R.M5R12</t>
  </si>
  <si>
    <t>Paraburkholderia caledonica</t>
  </si>
  <si>
    <t>R.M5R14</t>
  </si>
  <si>
    <t>Bradyrhizobium rifense</t>
  </si>
  <si>
    <t>Bradyrhizobiaceae</t>
  </si>
  <si>
    <t>Bradyrhizobium</t>
  </si>
  <si>
    <t>R.M5R15</t>
  </si>
  <si>
    <t>Mucilaginibacter ginsenosidivorax</t>
  </si>
  <si>
    <t>Sphingobacteriaceae</t>
  </si>
  <si>
    <t>Mucilaginibacter</t>
  </si>
  <si>
    <t>R.M5R17</t>
  </si>
  <si>
    <t>Paenibacillus ferrarius</t>
  </si>
  <si>
    <t>R.M5R18</t>
  </si>
  <si>
    <t>R.M5R19</t>
  </si>
  <si>
    <t>Mycobacterium helvum</t>
  </si>
  <si>
    <t>Mycobacteriaceae</t>
  </si>
  <si>
    <t>Mycobacterium</t>
  </si>
  <si>
    <t>R.M5R2</t>
  </si>
  <si>
    <t>Kitasatospora kifunensis</t>
  </si>
  <si>
    <t>Kitasatospora</t>
  </si>
  <si>
    <t>R.M5R3</t>
  </si>
  <si>
    <t>Paenibacillus filicis</t>
  </si>
  <si>
    <t>R.M5R4</t>
  </si>
  <si>
    <t>R.M5R5</t>
  </si>
  <si>
    <t>Streptomyces ferralitis</t>
  </si>
  <si>
    <t>R.M5R6</t>
  </si>
  <si>
    <t>R.M5R7</t>
  </si>
  <si>
    <t>R.M5R8</t>
  </si>
  <si>
    <t>R.M5R9</t>
  </si>
  <si>
    <t>T.M1R3</t>
  </si>
  <si>
    <t>T.M2R1</t>
  </si>
  <si>
    <t>Streptomyces scopuliridis</t>
  </si>
  <si>
    <t>T.M2R13</t>
  </si>
  <si>
    <t>Streptomyces mauvecolor</t>
  </si>
  <si>
    <t>T.M2R14</t>
  </si>
  <si>
    <t>Rhanella victoriana</t>
  </si>
  <si>
    <t>Yersiniaceae</t>
  </si>
  <si>
    <t>Rahnella</t>
  </si>
  <si>
    <t>T.M2R17</t>
  </si>
  <si>
    <t>T.M2R19</t>
  </si>
  <si>
    <t>T.M2R2</t>
  </si>
  <si>
    <t>Sporosarcina psychrophila</t>
  </si>
  <si>
    <t>Sporosarcina</t>
  </si>
  <si>
    <t>T.M2R20</t>
  </si>
  <si>
    <t>Nocrdia concava</t>
  </si>
  <si>
    <t>Nocardiaceae</t>
  </si>
  <si>
    <t>Nocardia</t>
  </si>
  <si>
    <t>T.M2R21</t>
  </si>
  <si>
    <t xml:space="preserve">Acinetobacter lwoffii </t>
  </si>
  <si>
    <t>T.M2R22</t>
  </si>
  <si>
    <t>Paenibacillus montaniterrae</t>
  </si>
  <si>
    <t>T.M2R24</t>
  </si>
  <si>
    <t>Streptomyces hiroshimensis</t>
  </si>
  <si>
    <t>T.M2R8</t>
  </si>
  <si>
    <t>T.M2R9</t>
  </si>
  <si>
    <t>Bacillus gibsonii</t>
  </si>
  <si>
    <t>T.M3R1</t>
  </si>
  <si>
    <t>T.M3R11</t>
  </si>
  <si>
    <t>Bacillus drentensis</t>
  </si>
  <si>
    <t>T.M3R18</t>
  </si>
  <si>
    <t>Streptomyces tsukubensis</t>
  </si>
  <si>
    <t>T.M3R23</t>
  </si>
  <si>
    <t>Paenibacillus ginsengarvi</t>
  </si>
  <si>
    <t>96.77%</t>
  </si>
  <si>
    <t>T.M3R7</t>
  </si>
  <si>
    <t>T.M3R8</t>
  </si>
  <si>
    <t>T.M3R9</t>
  </si>
  <si>
    <t>Rhodococcus erythropolis</t>
  </si>
  <si>
    <t>Rhodococcus</t>
  </si>
  <si>
    <t>T.M4R1</t>
  </si>
  <si>
    <t>Lysinibacillus xylanilyticus</t>
  </si>
  <si>
    <t>Lysinibacillus</t>
  </si>
  <si>
    <t>T.M4R11</t>
  </si>
  <si>
    <t>T.M4R4</t>
  </si>
  <si>
    <t>T.M5R2</t>
  </si>
  <si>
    <t>Lysinibacillus fusiformis</t>
  </si>
  <si>
    <t>T.M5R3</t>
  </si>
  <si>
    <t>T.M5R4</t>
  </si>
  <si>
    <t>T.M5R5</t>
  </si>
  <si>
    <t>Pseudomonadota</t>
  </si>
  <si>
    <t>Actinomycetota</t>
  </si>
  <si>
    <t>Bacillota</t>
  </si>
  <si>
    <t>Bacteroidota</t>
  </si>
  <si>
    <t>Positive</t>
  </si>
  <si>
    <t>-</t>
  </si>
  <si>
    <t>Accession number</t>
  </si>
  <si>
    <t>MH298370</t>
  </si>
  <si>
    <t>MH298481</t>
  </si>
  <si>
    <t>MH298455</t>
  </si>
  <si>
    <t>MH298459</t>
  </si>
  <si>
    <t>MH298390</t>
  </si>
  <si>
    <t>MH298472</t>
  </si>
  <si>
    <t>MH298340</t>
  </si>
  <si>
    <t>MH298341</t>
  </si>
  <si>
    <t>MH298396</t>
  </si>
  <si>
    <t>MH298448</t>
  </si>
  <si>
    <t>MH298504</t>
  </si>
  <si>
    <t>MH298378</t>
  </si>
  <si>
    <t>MH298469</t>
  </si>
  <si>
    <t>MH298392</t>
  </si>
  <si>
    <t>MH298386</t>
  </si>
  <si>
    <t>MH298452</t>
  </si>
  <si>
    <t>MH298436</t>
  </si>
  <si>
    <t>MH298397</t>
  </si>
  <si>
    <t>MH298355</t>
  </si>
  <si>
    <t>MH298446</t>
  </si>
  <si>
    <t>MH298388</t>
  </si>
  <si>
    <t>MH298408</t>
  </si>
  <si>
    <t>MH298475</t>
  </si>
  <si>
    <t>MH298428</t>
  </si>
  <si>
    <t>MH298432</t>
  </si>
  <si>
    <t>MH298437</t>
  </si>
  <si>
    <t>MH298457</t>
  </si>
  <si>
    <t>MH298498</t>
  </si>
  <si>
    <t>MH298418</t>
  </si>
  <si>
    <t>MH298422</t>
  </si>
  <si>
    <t>MH298361</t>
  </si>
  <si>
    <t>MH298506</t>
  </si>
  <si>
    <t>MH298509</t>
  </si>
  <si>
    <t>MH298402</t>
  </si>
  <si>
    <t>MH298417</t>
  </si>
  <si>
    <t>MH298421</t>
  </si>
  <si>
    <t>MH298369</t>
  </si>
  <si>
    <t>MH298491</t>
  </si>
  <si>
    <t>MH298426</t>
  </si>
  <si>
    <t>MH298338</t>
  </si>
  <si>
    <t>MH298474</t>
  </si>
  <si>
    <t>MH298350</t>
  </si>
  <si>
    <t>MH298339</t>
  </si>
  <si>
    <t>MH298373</t>
  </si>
  <si>
    <t>MH298357</t>
  </si>
  <si>
    <t>MH298495</t>
  </si>
  <si>
    <t>MH298382</t>
  </si>
  <si>
    <t>MH298442</t>
  </si>
  <si>
    <t>MH298336</t>
  </si>
  <si>
    <t>MH298511</t>
  </si>
  <si>
    <t>MH298349</t>
  </si>
  <si>
    <t>MH298352</t>
  </si>
  <si>
    <t>MH298508</t>
  </si>
  <si>
    <t>MH298461</t>
  </si>
  <si>
    <t>MH298483</t>
  </si>
  <si>
    <t>MH298444</t>
  </si>
  <si>
    <t>MH298512</t>
  </si>
  <si>
    <t>MH298516</t>
  </si>
  <si>
    <t>MH298480</t>
  </si>
  <si>
    <t>MH298500</t>
  </si>
  <si>
    <t>MH298466</t>
  </si>
  <si>
    <t>MH298510</t>
  </si>
  <si>
    <t>MH298450</t>
  </si>
  <si>
    <t>MH298358</t>
  </si>
  <si>
    <t>MH298394</t>
  </si>
  <si>
    <t>MH298379</t>
  </si>
  <si>
    <t>IAA (µg/mL)</t>
  </si>
  <si>
    <t xml:space="preserve">Legend: </t>
  </si>
  <si>
    <r>
      <rPr>
        <b/>
        <sz val="11"/>
        <color theme="1"/>
        <rFont val="Calibri"/>
        <family val="2"/>
        <scheme val="minor"/>
      </rPr>
      <t>Strains -</t>
    </r>
    <r>
      <rPr>
        <sz val="11"/>
        <color theme="1"/>
        <rFont val="Calibri"/>
        <family val="2"/>
        <scheme val="minor"/>
      </rPr>
      <t xml:space="preserve"> Internal Sample Identifcation; </t>
    </r>
  </si>
  <si>
    <r>
      <rPr>
        <b/>
        <sz val="11"/>
        <color theme="1"/>
        <rFont val="Calibri"/>
        <family val="2"/>
        <scheme val="minor"/>
      </rPr>
      <t>Acession Number</t>
    </r>
    <r>
      <rPr>
        <sz val="11"/>
        <color theme="1"/>
        <rFont val="Calibri"/>
        <family val="2"/>
        <scheme val="minor"/>
      </rPr>
      <t>-  Genbank acession number;</t>
    </r>
  </si>
  <si>
    <r>
      <rPr>
        <b/>
        <sz val="11"/>
        <color theme="1"/>
        <rFont val="Calibri"/>
        <family val="2"/>
        <scheme val="minor"/>
      </rPr>
      <t xml:space="preserve">IAA (µg/mL) </t>
    </r>
    <r>
      <rPr>
        <sz val="11"/>
        <color theme="1"/>
        <rFont val="Calibri"/>
        <family val="2"/>
        <scheme val="minor"/>
      </rPr>
      <t xml:space="preserve">- Indole acetic acid production; </t>
    </r>
  </si>
  <si>
    <r>
      <rPr>
        <b/>
        <sz val="11"/>
        <color theme="1"/>
        <rFont val="Calibri"/>
        <family val="2"/>
        <scheme val="minor"/>
      </rPr>
      <t>Siderophores -</t>
    </r>
    <r>
      <rPr>
        <sz val="11"/>
        <color theme="1"/>
        <rFont val="Calibri"/>
        <family val="2"/>
        <scheme val="minor"/>
      </rPr>
      <t xml:space="preserve"> Siderophore Production;</t>
    </r>
  </si>
  <si>
    <r>
      <rPr>
        <b/>
        <sz val="11"/>
        <color theme="1"/>
        <rFont val="Calibri"/>
        <family val="2"/>
        <scheme val="minor"/>
      </rPr>
      <t xml:space="preserve">ACC </t>
    </r>
    <r>
      <rPr>
        <sz val="11"/>
        <color theme="1"/>
        <rFont val="Calibri"/>
        <family val="2"/>
        <scheme val="minor"/>
      </rPr>
      <t xml:space="preserve">- 1-aminocyclopropane-1-carboxylate deaminase production; </t>
    </r>
  </si>
  <si>
    <r>
      <t>Phosphate -</t>
    </r>
    <r>
      <rPr>
        <sz val="11"/>
        <color theme="1"/>
        <rFont val="Calibri"/>
        <family val="2"/>
        <scheme val="minor"/>
      </rPr>
      <t xml:space="preserve"> Phosphate solubilization;  </t>
    </r>
  </si>
  <si>
    <r>
      <rPr>
        <b/>
        <sz val="11"/>
        <color theme="1"/>
        <rFont val="Calibri"/>
        <family val="2"/>
        <scheme val="minor"/>
      </rPr>
      <t xml:space="preserve">Phyla/Family/Genera- </t>
    </r>
    <r>
      <rPr>
        <sz val="11"/>
        <color theme="1"/>
        <rFont val="Calibri"/>
        <family val="2"/>
        <scheme val="minor"/>
      </rPr>
      <t>Bacterial strain corresponding taxa</t>
    </r>
  </si>
  <si>
    <r>
      <t xml:space="preserve">Note: In Strains: the first letter indicates the media where they islated ("T" for Tryptic Soy Agar and "R" for R2 agar); "M"- </t>
    </r>
    <r>
      <rPr>
        <i/>
        <sz val="11"/>
        <color theme="1"/>
        <rFont val="Calibri"/>
        <family val="2"/>
        <scheme val="minor"/>
      </rPr>
      <t>Pinus pinea</t>
    </r>
    <r>
      <rPr>
        <sz val="11"/>
        <color theme="1"/>
        <rFont val="Calibri"/>
        <family val="2"/>
        <scheme val="minor"/>
      </rPr>
      <t>; "R"- root;</t>
    </r>
  </si>
  <si>
    <t>98.97%</t>
  </si>
  <si>
    <t>99.5%</t>
  </si>
  <si>
    <t>98.76%</t>
  </si>
  <si>
    <t>99.81%</t>
  </si>
  <si>
    <t>99.52%</t>
  </si>
  <si>
    <t>99.62%</t>
  </si>
  <si>
    <t>99.26%</t>
  </si>
  <si>
    <t>99.41%</t>
  </si>
  <si>
    <t>98.77%</t>
  </si>
  <si>
    <t>99.28%</t>
  </si>
  <si>
    <t>98.89%</t>
  </si>
  <si>
    <t>99.8%</t>
  </si>
  <si>
    <t>99.9%</t>
  </si>
  <si>
    <t>97.18%/97.18%</t>
  </si>
  <si>
    <t>99.59%</t>
  </si>
  <si>
    <t>99.68%</t>
  </si>
  <si>
    <t>99.09%</t>
  </si>
  <si>
    <t>98.3%</t>
  </si>
  <si>
    <t>98.94%</t>
  </si>
  <si>
    <t>99.06%</t>
  </si>
  <si>
    <t>98.67%</t>
  </si>
  <si>
    <t>99.82%</t>
  </si>
  <si>
    <t>99.79%</t>
  </si>
  <si>
    <t>98.53%</t>
  </si>
  <si>
    <t>98.95%</t>
  </si>
  <si>
    <t>96.72%</t>
  </si>
  <si>
    <t>99.71%</t>
  </si>
  <si>
    <t>99.91%</t>
  </si>
  <si>
    <t>99.38%</t>
  </si>
  <si>
    <t>98.02%</t>
  </si>
  <si>
    <t>96.26%</t>
  </si>
  <si>
    <t>98.91%</t>
  </si>
  <si>
    <t>98.96%</t>
  </si>
  <si>
    <t>99.24%</t>
  </si>
  <si>
    <t>97.99%</t>
  </si>
  <si>
    <t>99.76%</t>
  </si>
  <si>
    <t>99.63%</t>
  </si>
  <si>
    <t>99.64%</t>
  </si>
  <si>
    <t>99.43%</t>
  </si>
  <si>
    <t>99.49%</t>
  </si>
  <si>
    <t>12.23</t>
  </si>
  <si>
    <t>13.73</t>
  </si>
  <si>
    <t>26.36</t>
  </si>
  <si>
    <t>13.01</t>
  </si>
  <si>
    <t>33.15</t>
  </si>
  <si>
    <t>12.65</t>
  </si>
  <si>
    <t>10.92</t>
  </si>
  <si>
    <t>13.37</t>
  </si>
  <si>
    <t>27.24</t>
  </si>
  <si>
    <t>12.58</t>
  </si>
  <si>
    <t>33.58</t>
  </si>
  <si>
    <t>10.41</t>
  </si>
  <si>
    <t>5.06</t>
  </si>
  <si>
    <t>12.79</t>
  </si>
  <si>
    <t>6.45</t>
  </si>
  <si>
    <t>7.60</t>
  </si>
  <si>
    <t>11.35</t>
  </si>
  <si>
    <t>15.18</t>
  </si>
  <si>
    <t>6.32</t>
  </si>
  <si>
    <t>16.44</t>
  </si>
  <si>
    <t>4.45</t>
  </si>
  <si>
    <t>4.15</t>
  </si>
  <si>
    <t>11.90</t>
  </si>
  <si>
    <t>6.93</t>
  </si>
  <si>
    <t>13.51</t>
  </si>
  <si>
    <t>17.56</t>
  </si>
  <si>
    <t>9.54</t>
  </si>
  <si>
    <t>18.65</t>
  </si>
  <si>
    <t>6.41</t>
  </si>
  <si>
    <t>9.93</t>
  </si>
  <si>
    <t>6.84</t>
  </si>
  <si>
    <t>9.36</t>
  </si>
  <si>
    <t>4.14</t>
  </si>
  <si>
    <t>7.10</t>
  </si>
  <si>
    <t>7.02</t>
  </si>
  <si>
    <t>7.49</t>
  </si>
  <si>
    <t>7.67</t>
  </si>
  <si>
    <t>9.91</t>
  </si>
  <si>
    <t>5.45</t>
  </si>
  <si>
    <t>67.01</t>
  </si>
  <si>
    <t>5.088</t>
  </si>
  <si>
    <t>7.78</t>
  </si>
  <si>
    <t>7.17</t>
  </si>
  <si>
    <t>13.54</t>
  </si>
  <si>
    <t>6.73</t>
  </si>
  <si>
    <t>7.74</t>
  </si>
  <si>
    <t>8.18</t>
  </si>
  <si>
    <t>8.11</t>
  </si>
  <si>
    <t>13.59</t>
  </si>
  <si>
    <t>4.10</t>
  </si>
  <si>
    <t>6.95</t>
  </si>
  <si>
    <t>9.45</t>
  </si>
  <si>
    <t>14.97</t>
  </si>
  <si>
    <t>39.47</t>
  </si>
  <si>
    <t>15.77</t>
  </si>
  <si>
    <t>35.45</t>
  </si>
  <si>
    <t>20.09</t>
  </si>
  <si>
    <t>7.85</t>
  </si>
  <si>
    <t>21.66</t>
  </si>
  <si>
    <t>26.24</t>
  </si>
  <si>
    <t>Table S1</t>
  </si>
  <si>
    <r>
      <t>Characterization of endophytic bacteria isolated from</t>
    </r>
    <r>
      <rPr>
        <b/>
        <i/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the root of</t>
    </r>
    <r>
      <rPr>
        <b/>
        <i/>
        <sz val="12"/>
        <color theme="1"/>
        <rFont val="Times New Roman"/>
        <family val="1"/>
      </rPr>
      <t xml:space="preserve"> Pinus pinea</t>
    </r>
    <r>
      <rPr>
        <b/>
        <sz val="12"/>
        <color theme="1"/>
        <rFont val="Times New Roman"/>
        <family val="1"/>
      </rPr>
      <t xml:space="preserve"> and growth-promoting traits</t>
    </r>
  </si>
  <si>
    <r>
      <rPr>
        <b/>
        <sz val="11"/>
        <color theme="1"/>
        <rFont val="Calibri"/>
        <family val="2"/>
        <scheme val="minor"/>
      </rPr>
      <t>pb -</t>
    </r>
    <r>
      <rPr>
        <sz val="11"/>
        <color theme="1"/>
        <rFont val="Calibri"/>
        <family val="2"/>
        <scheme val="minor"/>
      </rPr>
      <t xml:space="preserve"> number of base pairs of the isolate 16S rRNA sequence; </t>
    </r>
  </si>
  <si>
    <t>Strain taxonomy</t>
  </si>
  <si>
    <r>
      <rPr>
        <b/>
        <sz val="11"/>
        <color theme="1"/>
        <rFont val="Calibri"/>
        <family val="2"/>
        <scheme val="minor"/>
      </rPr>
      <t>Similarity -</t>
    </r>
    <r>
      <rPr>
        <sz val="11"/>
        <color theme="1"/>
        <rFont val="Calibri"/>
        <family val="2"/>
        <scheme val="minor"/>
      </rPr>
      <t xml:space="preserve"> percentage of base pairs matching with the  closest relative sequence;</t>
    </r>
  </si>
  <si>
    <r>
      <rPr>
        <b/>
        <sz val="11"/>
        <color theme="1"/>
        <rFont val="Calibri"/>
        <family val="2"/>
        <scheme val="minor"/>
      </rPr>
      <t>Closest Relative -</t>
    </r>
    <r>
      <rPr>
        <sz val="11"/>
        <color theme="1"/>
        <rFont val="Calibri"/>
        <family val="2"/>
        <scheme val="minor"/>
      </rPr>
      <t xml:space="preserve"> taxon with the closest 16S rRNA gene sequence (EzTaxon)</t>
    </r>
  </si>
  <si>
    <t>16S rRNA gene identification</t>
  </si>
  <si>
    <r>
      <t>Frederico Leitão</t>
    </r>
    <r>
      <rPr>
        <b/>
        <vertAlign val="superscript"/>
        <sz val="11"/>
        <color theme="1"/>
        <rFont val="Calibri"/>
        <family val="2"/>
        <scheme val="minor"/>
      </rPr>
      <t>1,2</t>
    </r>
    <r>
      <rPr>
        <b/>
        <sz val="11"/>
        <color theme="1"/>
        <rFont val="Calibri"/>
        <family val="2"/>
        <scheme val="minor"/>
      </rPr>
      <t>, Marta Alves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,  Isabel Henriques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Glória Pinto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</si>
  <si>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</t>
    </r>
    <r>
      <rPr>
        <sz val="11"/>
        <color theme="1"/>
        <rFont val="Calibri"/>
        <family val="2"/>
        <scheme val="minor"/>
      </rPr>
      <t xml:space="preserve">Centre for Environmental and Marine Studies, Biology Department, University of Aveiro, Aveiro, Portugal; </t>
    </r>
  </si>
  <si>
    <r>
      <t>1</t>
    </r>
    <r>
      <rPr>
        <sz val="11"/>
        <color theme="1"/>
        <rFont val="Calibri"/>
        <family val="2"/>
        <scheme val="minor"/>
      </rPr>
      <t xml:space="preserve">Department of Life Sciences, Centre for Functional Ecology, Associate Laboratory TERRA, Faculty of Sciences and Technology, University of Coimbra, 3000-456, Coimbra, Portugal; </t>
    </r>
  </si>
  <si>
    <r>
      <t>Endophytic bacterial consortia isolated from disease-resistant</t>
    </r>
    <r>
      <rPr>
        <b/>
        <i/>
        <sz val="12"/>
        <color theme="1"/>
        <rFont val="Times New Roman"/>
        <family val="1"/>
      </rPr>
      <t xml:space="preserve"> Pinus pinea</t>
    </r>
    <r>
      <rPr>
        <b/>
        <sz val="12"/>
        <color theme="1"/>
        <rFont val="Times New Roman"/>
        <family val="1"/>
      </rPr>
      <t xml:space="preserve"> increase germination and plant quality in a susceptible pine species </t>
    </r>
  </si>
  <si>
    <t>Corresponding author: Glória Pinto - gpinto@ua.pt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</si>
</sst>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4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15" xfId="0" applyFont="1" applyBorder="1"/>
    <xf numFmtId="0" fontId="8" fillId="0" borderId="7" xfId="0" applyFont="1" applyBorder="1"/>
    <xf numFmtId="0" fontId="8" fillId="0" borderId="11" xfId="0" applyFont="1" applyBorder="1"/>
    <xf numFmtId="0" fontId="9" fillId="0" borderId="0" xfId="0" applyFont="1" applyAlignment="1">
      <alignment vertical="center"/>
    </xf>
    <xf numFmtId="1" fontId="2" fillId="0" borderId="6" xfId="0" applyNumberFormat="1" applyFont="1" applyBorder="1" applyAlignment="1">
      <alignment horizontal="center"/>
    </xf>
    <xf numFmtId="0" fontId="5" fillId="0" borderId="16" xfId="0" applyFont="1" applyBorder="1" applyAlignment="1">
      <alignment vertical="center"/>
    </xf>
    <xf numFmtId="0" fontId="0" fillId="0" borderId="16" xfId="0" applyBorder="1"/>
    <xf numFmtId="0" fontId="3" fillId="0" borderId="16" xfId="0" applyFont="1" applyBorder="1"/>
    <xf numFmtId="0" fontId="2" fillId="0" borderId="16" xfId="0" applyFon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ast.ncbi.nlm.nih.gov/Blast.cgi" TargetMode="External"/><Relationship Id="rId3" Type="http://schemas.openxmlformats.org/officeDocument/2006/relationships/hyperlink" Target="https://blast.ncbi.nlm.nih.gov/Blast.cgi" TargetMode="External"/><Relationship Id="rId7" Type="http://schemas.openxmlformats.org/officeDocument/2006/relationships/hyperlink" Target="https://blast.ncbi.nlm.nih.gov/Blast.cgi" TargetMode="External"/><Relationship Id="rId2" Type="http://schemas.openxmlformats.org/officeDocument/2006/relationships/hyperlink" Target="http://www.ezbiocloud.net/taxonomy?tn=Mesorhizobium%20qingshengii" TargetMode="External"/><Relationship Id="rId1" Type="http://schemas.openxmlformats.org/officeDocument/2006/relationships/hyperlink" Target="https://blast.ncbi.nlm.nih.gov/Blast.cgi" TargetMode="External"/><Relationship Id="rId6" Type="http://schemas.openxmlformats.org/officeDocument/2006/relationships/hyperlink" Target="http://www.ezbiocloud.net/taxonomy?tn=Mesorhizobium%20qingshengii" TargetMode="External"/><Relationship Id="rId5" Type="http://schemas.openxmlformats.org/officeDocument/2006/relationships/hyperlink" Target="https://blast.ncbi.nlm.nih.gov/Blast.cgi" TargetMode="External"/><Relationship Id="rId4" Type="http://schemas.openxmlformats.org/officeDocument/2006/relationships/hyperlink" Target="https://blast.ncbi.nlm.nih.gov/Blast.cgi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FEA8-CA25-4F55-93C0-F4955A80446B}">
  <dimension ref="A1:Z91"/>
  <sheetViews>
    <sheetView tabSelected="1" workbookViewId="0">
      <selection activeCell="A8" sqref="A8"/>
    </sheetView>
  </sheetViews>
  <sheetFormatPr defaultColWidth="8.77734375" defaultRowHeight="14.4" x14ac:dyDescent="0.3"/>
  <cols>
    <col min="1" max="1" width="26.44140625" customWidth="1"/>
    <col min="2" max="2" width="16.44140625" bestFit="1" customWidth="1"/>
    <col min="3" max="3" width="15.44140625" bestFit="1" customWidth="1"/>
    <col min="4" max="4" width="18.109375" bestFit="1" customWidth="1"/>
    <col min="5" max="5" width="18.5546875" bestFit="1" customWidth="1"/>
    <col min="6" max="6" width="15.44140625" bestFit="1" customWidth="1"/>
    <col min="7" max="7" width="34.88671875" bestFit="1" customWidth="1"/>
    <col min="8" max="8" width="18.44140625" bestFit="1" customWidth="1"/>
    <col min="9" max="9" width="10" bestFit="1" customWidth="1"/>
    <col min="10" max="10" width="11.33203125" bestFit="1" customWidth="1"/>
    <col min="11" max="11" width="12.109375" bestFit="1" customWidth="1"/>
    <col min="14" max="14" width="8.44140625" bestFit="1" customWidth="1"/>
    <col min="15" max="16" width="12.6640625" bestFit="1" customWidth="1"/>
    <col min="26" max="26" width="8.77734375" hidden="1" customWidth="1"/>
  </cols>
  <sheetData>
    <row r="1" spans="1:26" x14ac:dyDescent="0.3">
      <c r="A1" s="1" t="s">
        <v>361</v>
      </c>
      <c r="B1" s="2"/>
      <c r="C1" s="2"/>
      <c r="E1" s="2"/>
      <c r="F1" s="2"/>
      <c r="G1" s="2"/>
    </row>
    <row r="2" spans="1:26" ht="16.2" x14ac:dyDescent="0.3">
      <c r="A2" s="27" t="s">
        <v>362</v>
      </c>
      <c r="B2" s="27"/>
      <c r="C2" s="27"/>
      <c r="E2" s="27"/>
      <c r="F2" s="27"/>
      <c r="G2" s="27"/>
      <c r="H2" s="3"/>
      <c r="I2" s="4"/>
      <c r="J2" s="4"/>
      <c r="K2" s="4"/>
      <c r="Z2" s="4"/>
    </row>
    <row r="3" spans="1:26" ht="16.2" x14ac:dyDescent="0.3">
      <c r="A3" s="27" t="s">
        <v>371</v>
      </c>
      <c r="B3" s="27"/>
      <c r="C3" s="27"/>
      <c r="E3" s="27"/>
      <c r="F3" s="27"/>
      <c r="G3" s="27"/>
      <c r="H3" s="3"/>
      <c r="I3" s="4"/>
      <c r="J3" s="4"/>
      <c r="K3" s="4"/>
      <c r="Z3" s="4"/>
    </row>
    <row r="4" spans="1:26" ht="16.2" x14ac:dyDescent="0.3">
      <c r="A4" s="36" t="s">
        <v>368</v>
      </c>
      <c r="B4" s="27"/>
      <c r="C4" s="27"/>
      <c r="E4" s="27"/>
      <c r="F4" s="27"/>
      <c r="G4" s="27"/>
      <c r="H4" s="3"/>
      <c r="I4" s="4"/>
      <c r="J4" s="4"/>
      <c r="K4" s="4"/>
      <c r="Z4" s="4"/>
    </row>
    <row r="5" spans="1:26" ht="16.2" x14ac:dyDescent="0.3">
      <c r="A5" s="49" t="s">
        <v>370</v>
      </c>
      <c r="B5" s="27"/>
      <c r="C5" s="27"/>
      <c r="E5" s="27"/>
      <c r="F5" s="27"/>
      <c r="G5" s="27"/>
      <c r="H5" s="3"/>
      <c r="I5" s="4"/>
      <c r="J5" s="4"/>
      <c r="K5" s="4"/>
      <c r="Z5" s="4"/>
    </row>
    <row r="6" spans="1:26" ht="16.2" x14ac:dyDescent="0.3">
      <c r="A6" s="49" t="s">
        <v>369</v>
      </c>
      <c r="B6" s="27"/>
      <c r="C6" s="27"/>
      <c r="E6" s="27"/>
      <c r="F6" s="27"/>
      <c r="G6" s="27"/>
      <c r="H6" s="3"/>
      <c r="I6" s="4"/>
      <c r="J6" s="4"/>
      <c r="K6" s="4"/>
      <c r="Z6" s="4"/>
    </row>
    <row r="7" spans="1:26" x14ac:dyDescent="0.3">
      <c r="A7" s="50" t="s">
        <v>372</v>
      </c>
    </row>
    <row r="8" spans="1:26" ht="16.2" thickBot="1" x14ac:dyDescent="0.35">
      <c r="B8" s="27"/>
      <c r="C8" s="38"/>
      <c r="D8" s="39"/>
      <c r="E8" s="38"/>
      <c r="F8" s="38"/>
      <c r="G8" s="38"/>
      <c r="H8" s="40"/>
      <c r="I8" s="4"/>
      <c r="J8" s="4"/>
      <c r="K8" s="4"/>
      <c r="L8" s="4"/>
      <c r="M8" s="4"/>
      <c r="N8" s="4"/>
      <c r="O8" s="4"/>
      <c r="P8" s="4"/>
      <c r="Q8" s="4"/>
      <c r="R8" s="4"/>
      <c r="Z8" s="4"/>
    </row>
    <row r="9" spans="1:26" ht="15" thickBot="1" x14ac:dyDescent="0.35">
      <c r="B9" s="41"/>
      <c r="C9" s="56" t="s">
        <v>364</v>
      </c>
      <c r="D9" s="57"/>
      <c r="E9" s="58"/>
      <c r="F9" s="56" t="s">
        <v>367</v>
      </c>
      <c r="G9" s="57"/>
      <c r="H9" s="57"/>
      <c r="I9" s="52" t="s">
        <v>0</v>
      </c>
      <c r="J9" s="53"/>
      <c r="K9" s="53"/>
      <c r="L9" s="54"/>
      <c r="M9" s="55"/>
      <c r="N9" s="55"/>
      <c r="O9" s="55"/>
      <c r="P9" s="55"/>
      <c r="Q9" s="55"/>
      <c r="R9" s="55"/>
      <c r="Z9" s="4"/>
    </row>
    <row r="10" spans="1:26" ht="15" thickBot="1" x14ac:dyDescent="0.35">
      <c r="A10" s="9" t="s">
        <v>7</v>
      </c>
      <c r="B10" s="9" t="s">
        <v>184</v>
      </c>
      <c r="C10" s="6" t="s">
        <v>4</v>
      </c>
      <c r="D10" s="6" t="s">
        <v>5</v>
      </c>
      <c r="E10" s="7" t="s">
        <v>6</v>
      </c>
      <c r="F10" s="8" t="s">
        <v>2</v>
      </c>
      <c r="G10" s="8" t="s">
        <v>1</v>
      </c>
      <c r="H10" s="45" t="s">
        <v>3</v>
      </c>
      <c r="I10" s="5" t="s">
        <v>8</v>
      </c>
      <c r="J10" s="10" t="s">
        <v>251</v>
      </c>
      <c r="K10" s="7" t="s">
        <v>9</v>
      </c>
      <c r="L10" s="28" t="s">
        <v>10</v>
      </c>
      <c r="M10" s="31"/>
      <c r="N10" s="31"/>
      <c r="O10" s="31"/>
      <c r="P10" s="31"/>
      <c r="Q10" s="31"/>
      <c r="R10" s="31"/>
      <c r="Z10" s="9" t="s">
        <v>7</v>
      </c>
    </row>
    <row r="11" spans="1:26" x14ac:dyDescent="0.3">
      <c r="A11" s="33" t="str">
        <f t="shared" ref="A11:A42" si="0">CONCATENATE(E11," ",Z11)</f>
        <v>Labrys R.M1R1</v>
      </c>
      <c r="B11" s="42" t="s">
        <v>186</v>
      </c>
      <c r="C11" s="11" t="s">
        <v>178</v>
      </c>
      <c r="D11" s="11" t="s">
        <v>36</v>
      </c>
      <c r="E11" s="13" t="s">
        <v>37</v>
      </c>
      <c r="F11" s="44">
        <v>969</v>
      </c>
      <c r="G11" s="13" t="s">
        <v>35</v>
      </c>
      <c r="H11" s="46" t="s">
        <v>261</v>
      </c>
      <c r="I11" s="19" t="s">
        <v>182</v>
      </c>
      <c r="J11" s="16" t="s">
        <v>301</v>
      </c>
      <c r="K11" s="17" t="s">
        <v>183</v>
      </c>
      <c r="L11" s="29" t="s">
        <v>183</v>
      </c>
      <c r="M11" s="11"/>
      <c r="N11" s="11"/>
      <c r="R11" s="11"/>
      <c r="Z11" s="14" t="s">
        <v>38</v>
      </c>
    </row>
    <row r="12" spans="1:26" x14ac:dyDescent="0.3">
      <c r="A12" s="34" t="str">
        <f t="shared" si="0"/>
        <v>Paraburkholderia R.M1R10</v>
      </c>
      <c r="B12" s="42" t="s">
        <v>187</v>
      </c>
      <c r="C12" s="11" t="s">
        <v>178</v>
      </c>
      <c r="D12" s="11" t="s">
        <v>28</v>
      </c>
      <c r="E12" s="13" t="s">
        <v>29</v>
      </c>
      <c r="F12" s="15">
        <v>1007</v>
      </c>
      <c r="G12" s="13" t="s">
        <v>27</v>
      </c>
      <c r="H12" s="46" t="s">
        <v>262</v>
      </c>
      <c r="I12" s="19" t="s">
        <v>182</v>
      </c>
      <c r="J12" s="16" t="s">
        <v>302</v>
      </c>
      <c r="K12" s="17" t="s">
        <v>183</v>
      </c>
      <c r="L12" s="29" t="s">
        <v>182</v>
      </c>
      <c r="M12" s="11"/>
      <c r="N12" s="32"/>
      <c r="R12" s="11"/>
      <c r="Z12" s="14" t="s">
        <v>39</v>
      </c>
    </row>
    <row r="13" spans="1:26" x14ac:dyDescent="0.3">
      <c r="A13" s="34" t="str">
        <f t="shared" si="0"/>
        <v>Sphingomonas R.M1R12</v>
      </c>
      <c r="B13" s="42" t="s">
        <v>242</v>
      </c>
      <c r="C13" s="11" t="s">
        <v>178</v>
      </c>
      <c r="D13" s="11" t="s">
        <v>41</v>
      </c>
      <c r="E13" s="12" t="s">
        <v>42</v>
      </c>
      <c r="F13" s="15">
        <v>966</v>
      </c>
      <c r="G13" s="12" t="s">
        <v>40</v>
      </c>
      <c r="H13" s="46" t="s">
        <v>263</v>
      </c>
      <c r="I13" s="15" t="s">
        <v>183</v>
      </c>
      <c r="J13" s="16" t="s">
        <v>303</v>
      </c>
      <c r="K13" s="18" t="s">
        <v>182</v>
      </c>
      <c r="L13" s="29" t="s">
        <v>183</v>
      </c>
      <c r="N13" s="32"/>
      <c r="R13" s="11"/>
      <c r="Z13" s="14" t="s">
        <v>43</v>
      </c>
    </row>
    <row r="14" spans="1:26" x14ac:dyDescent="0.3">
      <c r="A14" s="34" t="str">
        <f t="shared" si="0"/>
        <v>Bacillus R.M1R13</v>
      </c>
      <c r="B14" s="42" t="s">
        <v>185</v>
      </c>
      <c r="C14" s="11" t="s">
        <v>180</v>
      </c>
      <c r="D14" s="11" t="s">
        <v>20</v>
      </c>
      <c r="E14" s="13" t="s">
        <v>21</v>
      </c>
      <c r="F14" s="15">
        <v>1101</v>
      </c>
      <c r="G14" s="12" t="s">
        <v>75</v>
      </c>
      <c r="H14" s="46" t="s">
        <v>263</v>
      </c>
      <c r="I14" s="19" t="s">
        <v>182</v>
      </c>
      <c r="J14" s="16" t="s">
        <v>304</v>
      </c>
      <c r="K14" s="18" t="s">
        <v>182</v>
      </c>
      <c r="L14" s="29" t="s">
        <v>182</v>
      </c>
      <c r="M14" s="11"/>
      <c r="N14" s="32"/>
      <c r="R14" s="11"/>
      <c r="Z14" s="14" t="s">
        <v>44</v>
      </c>
    </row>
    <row r="15" spans="1:26" x14ac:dyDescent="0.3">
      <c r="A15" s="34" t="str">
        <f t="shared" si="0"/>
        <v>Mesorhizobium R.M1R2</v>
      </c>
      <c r="B15" s="42" t="s">
        <v>188</v>
      </c>
      <c r="C15" s="11" t="s">
        <v>178</v>
      </c>
      <c r="D15" s="11" t="s">
        <v>46</v>
      </c>
      <c r="E15" s="13" t="s">
        <v>47</v>
      </c>
      <c r="F15" s="15">
        <v>1052</v>
      </c>
      <c r="G15" s="13" t="s">
        <v>45</v>
      </c>
      <c r="H15" s="46" t="s">
        <v>264</v>
      </c>
      <c r="I15" s="19" t="s">
        <v>182</v>
      </c>
      <c r="J15" s="16" t="s">
        <v>305</v>
      </c>
      <c r="K15" s="18" t="s">
        <v>182</v>
      </c>
      <c r="L15" s="29" t="s">
        <v>183</v>
      </c>
      <c r="M15" s="11"/>
      <c r="N15" s="32"/>
      <c r="R15" s="11"/>
      <c r="Z15" s="14" t="s">
        <v>48</v>
      </c>
    </row>
    <row r="16" spans="1:26" x14ac:dyDescent="0.3">
      <c r="A16" s="34" t="str">
        <f t="shared" si="0"/>
        <v>Paraburkholderia R.M1R3</v>
      </c>
      <c r="B16" s="42" t="s">
        <v>189</v>
      </c>
      <c r="C16" s="11" t="s">
        <v>178</v>
      </c>
      <c r="D16" s="11" t="s">
        <v>28</v>
      </c>
      <c r="E16" s="12" t="s">
        <v>29</v>
      </c>
      <c r="F16" s="15">
        <v>1037</v>
      </c>
      <c r="G16" s="12" t="s">
        <v>27</v>
      </c>
      <c r="H16" s="46" t="s">
        <v>265</v>
      </c>
      <c r="I16" s="19" t="s">
        <v>182</v>
      </c>
      <c r="J16" s="16" t="s">
        <v>306</v>
      </c>
      <c r="K16" s="17" t="s">
        <v>182</v>
      </c>
      <c r="L16" s="29" t="s">
        <v>182</v>
      </c>
      <c r="M16" s="11"/>
      <c r="N16" s="32"/>
      <c r="R16" s="11"/>
      <c r="Z16" s="14" t="s">
        <v>49</v>
      </c>
    </row>
    <row r="17" spans="1:26" x14ac:dyDescent="0.3">
      <c r="A17" s="34" t="str">
        <f t="shared" si="0"/>
        <v>Paraburkholderia R.M1R4</v>
      </c>
      <c r="B17" s="42" t="s">
        <v>190</v>
      </c>
      <c r="C17" s="11" t="s">
        <v>178</v>
      </c>
      <c r="D17" s="11" t="s">
        <v>28</v>
      </c>
      <c r="E17" s="13" t="s">
        <v>29</v>
      </c>
      <c r="F17" s="15">
        <v>798</v>
      </c>
      <c r="G17" s="13" t="s">
        <v>27</v>
      </c>
      <c r="H17" s="46" t="s">
        <v>266</v>
      </c>
      <c r="I17" s="19" t="s">
        <v>182</v>
      </c>
      <c r="J17" s="16" t="s">
        <v>307</v>
      </c>
      <c r="K17" s="17" t="s">
        <v>182</v>
      </c>
      <c r="L17" s="29" t="s">
        <v>182</v>
      </c>
      <c r="M17" s="11"/>
      <c r="N17" s="32"/>
      <c r="R17" s="11"/>
      <c r="Z17" s="14" t="s">
        <v>50</v>
      </c>
    </row>
    <row r="18" spans="1:26" x14ac:dyDescent="0.3">
      <c r="A18" s="34" t="str">
        <f t="shared" si="0"/>
        <v>Caulobacter R.M1R5</v>
      </c>
      <c r="B18" s="42" t="s">
        <v>191</v>
      </c>
      <c r="C18" s="11" t="s">
        <v>178</v>
      </c>
      <c r="D18" s="11" t="s">
        <v>52</v>
      </c>
      <c r="E18" s="12" t="s">
        <v>53</v>
      </c>
      <c r="F18" s="15">
        <v>948</v>
      </c>
      <c r="G18" s="12" t="s">
        <v>51</v>
      </c>
      <c r="H18" s="46" t="s">
        <v>267</v>
      </c>
      <c r="I18" s="15" t="s">
        <v>183</v>
      </c>
      <c r="J18" s="16" t="s">
        <v>308</v>
      </c>
      <c r="K18" s="18" t="s">
        <v>182</v>
      </c>
      <c r="L18" s="29" t="s">
        <v>183</v>
      </c>
      <c r="M18" s="11"/>
      <c r="N18" s="32"/>
      <c r="R18" s="11"/>
      <c r="Z18" s="14" t="s">
        <v>54</v>
      </c>
    </row>
    <row r="19" spans="1:26" x14ac:dyDescent="0.3">
      <c r="A19" s="34" t="str">
        <f t="shared" si="0"/>
        <v>Rhizobium R.M1R6</v>
      </c>
      <c r="B19" s="42" t="s">
        <v>192</v>
      </c>
      <c r="C19" s="11" t="s">
        <v>178</v>
      </c>
      <c r="D19" s="11" t="s">
        <v>56</v>
      </c>
      <c r="E19" s="12" t="s">
        <v>57</v>
      </c>
      <c r="F19" s="15">
        <v>1026</v>
      </c>
      <c r="G19" s="12" t="s">
        <v>55</v>
      </c>
      <c r="H19" s="46" t="s">
        <v>268</v>
      </c>
      <c r="I19" s="15" t="s">
        <v>183</v>
      </c>
      <c r="J19" s="16" t="s">
        <v>309</v>
      </c>
      <c r="K19" s="18" t="s">
        <v>182</v>
      </c>
      <c r="L19" s="29" t="s">
        <v>183</v>
      </c>
      <c r="M19" s="11"/>
      <c r="N19" s="11"/>
      <c r="R19" s="11"/>
      <c r="Z19" s="14" t="s">
        <v>58</v>
      </c>
    </row>
    <row r="20" spans="1:26" x14ac:dyDescent="0.3">
      <c r="A20" s="34" t="str">
        <f t="shared" si="0"/>
        <v>Sphingomonas R.M1R7</v>
      </c>
      <c r="B20" s="42" t="s">
        <v>224</v>
      </c>
      <c r="C20" s="11" t="s">
        <v>178</v>
      </c>
      <c r="D20" s="11" t="s">
        <v>41</v>
      </c>
      <c r="E20" s="12" t="s">
        <v>42</v>
      </c>
      <c r="F20" s="15">
        <v>977</v>
      </c>
      <c r="G20" s="12" t="s">
        <v>40</v>
      </c>
      <c r="H20" s="46" t="s">
        <v>269</v>
      </c>
      <c r="I20" s="15" t="s">
        <v>183</v>
      </c>
      <c r="J20" s="16" t="s">
        <v>310</v>
      </c>
      <c r="K20" s="17" t="s">
        <v>183</v>
      </c>
      <c r="L20" s="29" t="s">
        <v>183</v>
      </c>
      <c r="M20" s="11"/>
      <c r="N20" s="11"/>
      <c r="R20" s="11"/>
      <c r="Z20" s="14" t="s">
        <v>59</v>
      </c>
    </row>
    <row r="21" spans="1:26" x14ac:dyDescent="0.3">
      <c r="A21" s="34" t="str">
        <f t="shared" si="0"/>
        <v>Variovorax R.M1R8</v>
      </c>
      <c r="B21" s="42" t="s">
        <v>193</v>
      </c>
      <c r="C21" s="11" t="s">
        <v>178</v>
      </c>
      <c r="D21" s="11" t="s">
        <v>61</v>
      </c>
      <c r="E21" s="13" t="s">
        <v>62</v>
      </c>
      <c r="F21" s="15">
        <v>1113</v>
      </c>
      <c r="G21" s="13" t="s">
        <v>60</v>
      </c>
      <c r="H21" s="46" t="s">
        <v>270</v>
      </c>
      <c r="I21" s="15" t="s">
        <v>183</v>
      </c>
      <c r="J21" s="16" t="s">
        <v>311</v>
      </c>
      <c r="K21" s="17" t="s">
        <v>183</v>
      </c>
      <c r="L21" s="29" t="s">
        <v>183</v>
      </c>
      <c r="M21" s="11"/>
      <c r="N21" s="11"/>
      <c r="R21" s="11"/>
      <c r="Z21" s="14" t="s">
        <v>63</v>
      </c>
    </row>
    <row r="22" spans="1:26" x14ac:dyDescent="0.3">
      <c r="A22" s="34" t="str">
        <f t="shared" si="0"/>
        <v>Rhizobium R.M2R1</v>
      </c>
      <c r="B22" s="42" t="s">
        <v>194</v>
      </c>
      <c r="C22" s="11" t="s">
        <v>178</v>
      </c>
      <c r="D22" s="11" t="s">
        <v>56</v>
      </c>
      <c r="E22" s="13" t="s">
        <v>57</v>
      </c>
      <c r="F22" s="15">
        <v>1058</v>
      </c>
      <c r="G22" s="13" t="s">
        <v>64</v>
      </c>
      <c r="H22" s="46" t="s">
        <v>264</v>
      </c>
      <c r="I22" s="15" t="s">
        <v>183</v>
      </c>
      <c r="J22" s="16" t="s">
        <v>312</v>
      </c>
      <c r="K22" s="17" t="s">
        <v>183</v>
      </c>
      <c r="L22" s="29" t="s">
        <v>183</v>
      </c>
      <c r="M22" s="11"/>
      <c r="N22" s="11"/>
      <c r="R22" s="11"/>
      <c r="Z22" s="14" t="s">
        <v>65</v>
      </c>
    </row>
    <row r="23" spans="1:26" x14ac:dyDescent="0.3">
      <c r="A23" s="34" t="str">
        <f t="shared" si="0"/>
        <v>Pseudoxanthomonas R.M2R4</v>
      </c>
      <c r="B23" s="42" t="s">
        <v>195</v>
      </c>
      <c r="C23" s="11" t="s">
        <v>178</v>
      </c>
      <c r="D23" s="11" t="s">
        <v>67</v>
      </c>
      <c r="E23" s="13" t="s">
        <v>68</v>
      </c>
      <c r="F23" s="15">
        <v>1077</v>
      </c>
      <c r="G23" s="13" t="s">
        <v>66</v>
      </c>
      <c r="H23" s="46" t="s">
        <v>271</v>
      </c>
      <c r="I23" s="15" t="s">
        <v>183</v>
      </c>
      <c r="J23" s="16">
        <v>0</v>
      </c>
      <c r="K23" s="17" t="s">
        <v>183</v>
      </c>
      <c r="L23" s="29" t="s">
        <v>183</v>
      </c>
      <c r="M23" s="11"/>
      <c r="N23" s="11"/>
      <c r="R23" s="11"/>
      <c r="Z23" s="14" t="s">
        <v>69</v>
      </c>
    </row>
    <row r="24" spans="1:26" x14ac:dyDescent="0.3">
      <c r="A24" s="34" t="str">
        <f t="shared" si="0"/>
        <v>Pantoea/Erwinia R.M2R5</v>
      </c>
      <c r="B24" s="42" t="s">
        <v>196</v>
      </c>
      <c r="C24" s="11" t="s">
        <v>178</v>
      </c>
      <c r="D24" s="11" t="s">
        <v>34</v>
      </c>
      <c r="E24" s="12" t="s">
        <v>72</v>
      </c>
      <c r="F24" s="15">
        <v>1120</v>
      </c>
      <c r="G24" s="12" t="s">
        <v>70</v>
      </c>
      <c r="H24" s="17" t="s">
        <v>71</v>
      </c>
      <c r="I24" s="19" t="s">
        <v>182</v>
      </c>
      <c r="J24" s="16" t="s">
        <v>313</v>
      </c>
      <c r="K24" s="18" t="s">
        <v>182</v>
      </c>
      <c r="L24" s="29" t="s">
        <v>183</v>
      </c>
      <c r="M24" s="11"/>
      <c r="N24" s="11"/>
      <c r="R24" s="11"/>
      <c r="Z24" s="14" t="s">
        <v>73</v>
      </c>
    </row>
    <row r="25" spans="1:26" x14ac:dyDescent="0.3">
      <c r="A25" s="34" t="str">
        <f t="shared" si="0"/>
        <v>Rhizobium R.M2R6</v>
      </c>
      <c r="B25" s="42" t="s">
        <v>197</v>
      </c>
      <c r="C25" s="11" t="s">
        <v>178</v>
      </c>
      <c r="D25" s="11" t="s">
        <v>56</v>
      </c>
      <c r="E25" s="13" t="s">
        <v>57</v>
      </c>
      <c r="F25" s="15">
        <v>1025</v>
      </c>
      <c r="G25" s="13" t="s">
        <v>64</v>
      </c>
      <c r="H25" s="46" t="s">
        <v>272</v>
      </c>
      <c r="I25" s="15" t="s">
        <v>183</v>
      </c>
      <c r="J25" s="16" t="s">
        <v>314</v>
      </c>
      <c r="K25" s="17" t="s">
        <v>183</v>
      </c>
      <c r="L25" s="29" t="s">
        <v>183</v>
      </c>
      <c r="M25" s="11"/>
      <c r="N25" s="11"/>
      <c r="R25" s="11"/>
      <c r="Z25" s="14" t="s">
        <v>74</v>
      </c>
    </row>
    <row r="26" spans="1:26" x14ac:dyDescent="0.3">
      <c r="A26" s="34" t="str">
        <f t="shared" si="0"/>
        <v>Bacillus R.M2R7</v>
      </c>
      <c r="B26" s="42" t="s">
        <v>198</v>
      </c>
      <c r="C26" s="11" t="s">
        <v>180</v>
      </c>
      <c r="D26" s="11" t="s">
        <v>20</v>
      </c>
      <c r="E26" s="13" t="s">
        <v>21</v>
      </c>
      <c r="F26" s="15">
        <v>969</v>
      </c>
      <c r="G26" s="13" t="s">
        <v>75</v>
      </c>
      <c r="H26" s="46" t="s">
        <v>273</v>
      </c>
      <c r="I26" s="15" t="s">
        <v>183</v>
      </c>
      <c r="J26" s="16" t="s">
        <v>315</v>
      </c>
      <c r="K26" s="18" t="s">
        <v>182</v>
      </c>
      <c r="L26" s="29" t="s">
        <v>183</v>
      </c>
      <c r="M26" s="11"/>
      <c r="N26" s="11"/>
      <c r="R26" s="11"/>
      <c r="Z26" s="14" t="s">
        <v>76</v>
      </c>
    </row>
    <row r="27" spans="1:26" x14ac:dyDescent="0.3">
      <c r="A27" s="34" t="str">
        <f t="shared" si="0"/>
        <v>Pantoea/Erwinia R.M2R8</v>
      </c>
      <c r="B27" s="42" t="s">
        <v>199</v>
      </c>
      <c r="C27" s="11" t="s">
        <v>178</v>
      </c>
      <c r="D27" s="11" t="s">
        <v>34</v>
      </c>
      <c r="E27" s="12" t="s">
        <v>72</v>
      </c>
      <c r="F27" s="15">
        <v>1172</v>
      </c>
      <c r="G27" s="12" t="s">
        <v>70</v>
      </c>
      <c r="H27" s="17" t="s">
        <v>274</v>
      </c>
      <c r="I27" s="19" t="s">
        <v>182</v>
      </c>
      <c r="J27" s="16" t="s">
        <v>316</v>
      </c>
      <c r="K27" s="18" t="s">
        <v>182</v>
      </c>
      <c r="L27" s="29" t="s">
        <v>183</v>
      </c>
      <c r="M27" s="11"/>
      <c r="N27" s="11"/>
      <c r="R27" s="11"/>
      <c r="Z27" s="14" t="s">
        <v>77</v>
      </c>
    </row>
    <row r="28" spans="1:26" x14ac:dyDescent="0.3">
      <c r="A28" s="34" t="str">
        <f t="shared" si="0"/>
        <v>Paraburkholderia R.M2R9</v>
      </c>
      <c r="B28" s="42" t="s">
        <v>200</v>
      </c>
      <c r="C28" s="11" t="s">
        <v>178</v>
      </c>
      <c r="D28" s="11" t="s">
        <v>28</v>
      </c>
      <c r="E28" s="13" t="s">
        <v>29</v>
      </c>
      <c r="F28" s="15">
        <v>974</v>
      </c>
      <c r="G28" s="13" t="s">
        <v>27</v>
      </c>
      <c r="H28" s="46" t="s">
        <v>275</v>
      </c>
      <c r="I28" s="19" t="s">
        <v>182</v>
      </c>
      <c r="J28" s="16" t="s">
        <v>317</v>
      </c>
      <c r="K28" s="17" t="s">
        <v>183</v>
      </c>
      <c r="L28" s="29" t="s">
        <v>182</v>
      </c>
      <c r="M28" s="11"/>
      <c r="N28" s="11"/>
      <c r="R28" s="11"/>
      <c r="Z28" s="14" t="s">
        <v>78</v>
      </c>
    </row>
    <row r="29" spans="1:26" x14ac:dyDescent="0.3">
      <c r="A29" s="34" t="str">
        <f t="shared" si="0"/>
        <v>Paenibacillus R.M3R1</v>
      </c>
      <c r="B29" s="42" t="s">
        <v>201</v>
      </c>
      <c r="C29" s="11" t="s">
        <v>180</v>
      </c>
      <c r="D29" s="11" t="s">
        <v>15</v>
      </c>
      <c r="E29" s="13" t="s">
        <v>16</v>
      </c>
      <c r="F29" s="15">
        <v>935</v>
      </c>
      <c r="G29" s="13" t="s">
        <v>79</v>
      </c>
      <c r="H29" s="46" t="s">
        <v>276</v>
      </c>
      <c r="I29" s="15" t="s">
        <v>183</v>
      </c>
      <c r="J29" s="16" t="s">
        <v>318</v>
      </c>
      <c r="K29" s="17" t="s">
        <v>183</v>
      </c>
      <c r="L29" s="29" t="s">
        <v>183</v>
      </c>
      <c r="M29" s="11"/>
      <c r="N29" s="11"/>
      <c r="R29" s="11"/>
      <c r="Z29" s="14" t="s">
        <v>80</v>
      </c>
    </row>
    <row r="30" spans="1:26" x14ac:dyDescent="0.3">
      <c r="A30" s="34" t="str">
        <f t="shared" si="0"/>
        <v>Brevibacterium R.M3R2</v>
      </c>
      <c r="B30" s="42" t="s">
        <v>202</v>
      </c>
      <c r="C30" s="11" t="s">
        <v>179</v>
      </c>
      <c r="D30" s="11" t="s">
        <v>82</v>
      </c>
      <c r="E30" s="12" t="s">
        <v>83</v>
      </c>
      <c r="F30" s="15">
        <v>1001</v>
      </c>
      <c r="G30" s="12" t="s">
        <v>81</v>
      </c>
      <c r="H30" s="47">
        <v>1</v>
      </c>
      <c r="I30" s="15" t="s">
        <v>183</v>
      </c>
      <c r="J30" s="16" t="s">
        <v>319</v>
      </c>
      <c r="K30" s="18" t="s">
        <v>182</v>
      </c>
      <c r="L30" s="29" t="s">
        <v>183</v>
      </c>
      <c r="M30" s="11"/>
      <c r="N30" s="11"/>
      <c r="R30" s="11"/>
      <c r="Z30" s="14" t="s">
        <v>84</v>
      </c>
    </row>
    <row r="31" spans="1:26" x14ac:dyDescent="0.3">
      <c r="A31" s="34" t="str">
        <f t="shared" si="0"/>
        <v>Caballeronia R.M3R3</v>
      </c>
      <c r="B31" s="42" t="s">
        <v>203</v>
      </c>
      <c r="C31" s="11" t="s">
        <v>178</v>
      </c>
      <c r="D31" s="11" t="s">
        <v>28</v>
      </c>
      <c r="E31" s="12" t="s">
        <v>32</v>
      </c>
      <c r="F31" s="15">
        <v>879</v>
      </c>
      <c r="G31" s="12" t="s">
        <v>31</v>
      </c>
      <c r="H31" s="46" t="s">
        <v>277</v>
      </c>
      <c r="I31" s="15" t="s">
        <v>183</v>
      </c>
      <c r="J31" s="16" t="s">
        <v>320</v>
      </c>
      <c r="K31" s="17" t="s">
        <v>183</v>
      </c>
      <c r="L31" s="29" t="s">
        <v>183</v>
      </c>
      <c r="M31" s="11"/>
      <c r="N31" s="11"/>
      <c r="R31" s="11"/>
      <c r="Z31" s="14" t="s">
        <v>85</v>
      </c>
    </row>
    <row r="32" spans="1:26" x14ac:dyDescent="0.3">
      <c r="A32" s="34" t="str">
        <f t="shared" si="0"/>
        <v>Rhizobium R.M3R4</v>
      </c>
      <c r="B32" s="42" t="s">
        <v>204</v>
      </c>
      <c r="C32" s="11" t="s">
        <v>178</v>
      </c>
      <c r="D32" s="11" t="s">
        <v>56</v>
      </c>
      <c r="E32" s="13" t="s">
        <v>57</v>
      </c>
      <c r="F32" s="15">
        <v>1051</v>
      </c>
      <c r="G32" s="13" t="s">
        <v>64</v>
      </c>
      <c r="H32" s="46" t="s">
        <v>264</v>
      </c>
      <c r="I32" s="15" t="s">
        <v>183</v>
      </c>
      <c r="J32" s="16" t="s">
        <v>321</v>
      </c>
      <c r="K32" s="17" t="s">
        <v>183</v>
      </c>
      <c r="L32" s="29" t="s">
        <v>183</v>
      </c>
      <c r="M32" s="11"/>
      <c r="N32" s="11"/>
      <c r="R32" s="11"/>
      <c r="Z32" s="14" t="s">
        <v>86</v>
      </c>
    </row>
    <row r="33" spans="1:26" x14ac:dyDescent="0.3">
      <c r="A33" s="34" t="str">
        <f t="shared" si="0"/>
        <v>Paenibacillus R.M3R5</v>
      </c>
      <c r="B33" s="42" t="s">
        <v>205</v>
      </c>
      <c r="C33" s="11" t="s">
        <v>180</v>
      </c>
      <c r="D33" s="11" t="s">
        <v>15</v>
      </c>
      <c r="E33" s="12" t="s">
        <v>16</v>
      </c>
      <c r="F33" s="15">
        <v>943</v>
      </c>
      <c r="G33" s="12" t="s">
        <v>87</v>
      </c>
      <c r="H33" s="46" t="s">
        <v>278</v>
      </c>
      <c r="I33" s="15" t="s">
        <v>183</v>
      </c>
      <c r="J33" s="16" t="s">
        <v>322</v>
      </c>
      <c r="K33" s="17" t="s">
        <v>183</v>
      </c>
      <c r="L33" s="29" t="s">
        <v>183</v>
      </c>
      <c r="M33" s="11"/>
      <c r="N33" s="11"/>
      <c r="R33" s="11"/>
      <c r="Z33" s="14" t="s">
        <v>88</v>
      </c>
    </row>
    <row r="34" spans="1:26" x14ac:dyDescent="0.3">
      <c r="A34" s="34" t="str">
        <f t="shared" si="0"/>
        <v>Paenibacillus R.M4R1</v>
      </c>
      <c r="B34" s="42" t="s">
        <v>206</v>
      </c>
      <c r="C34" s="11" t="s">
        <v>180</v>
      </c>
      <c r="D34" s="11" t="s">
        <v>15</v>
      </c>
      <c r="E34" s="12" t="s">
        <v>16</v>
      </c>
      <c r="F34" s="15">
        <v>1133</v>
      </c>
      <c r="G34" s="12" t="s">
        <v>89</v>
      </c>
      <c r="H34" s="46" t="s">
        <v>279</v>
      </c>
      <c r="I34" s="15" t="s">
        <v>183</v>
      </c>
      <c r="J34" s="16" t="s">
        <v>323</v>
      </c>
      <c r="K34" s="17" t="s">
        <v>183</v>
      </c>
      <c r="L34" s="29" t="s">
        <v>183</v>
      </c>
      <c r="M34" s="11"/>
      <c r="N34" s="11"/>
      <c r="R34" s="11"/>
      <c r="Z34" s="14" t="s">
        <v>90</v>
      </c>
    </row>
    <row r="35" spans="1:26" x14ac:dyDescent="0.3">
      <c r="A35" s="34" t="str">
        <f t="shared" si="0"/>
        <v>Bacillus R.M5R1</v>
      </c>
      <c r="B35" s="42" t="s">
        <v>207</v>
      </c>
      <c r="C35" s="11" t="s">
        <v>180</v>
      </c>
      <c r="D35" s="11" t="s">
        <v>20</v>
      </c>
      <c r="E35" s="13" t="s">
        <v>21</v>
      </c>
      <c r="F35" s="15">
        <v>1119</v>
      </c>
      <c r="G35" s="13" t="s">
        <v>91</v>
      </c>
      <c r="H35" s="47" t="s">
        <v>92</v>
      </c>
      <c r="I35" s="15" t="s">
        <v>183</v>
      </c>
      <c r="J35" s="16" t="s">
        <v>324</v>
      </c>
      <c r="K35" s="18" t="s">
        <v>182</v>
      </c>
      <c r="L35" s="29" t="s">
        <v>183</v>
      </c>
      <c r="M35" s="11"/>
      <c r="N35" s="11"/>
      <c r="R35" s="11"/>
      <c r="Z35" s="14" t="s">
        <v>93</v>
      </c>
    </row>
    <row r="36" spans="1:26" x14ac:dyDescent="0.3">
      <c r="A36" s="34" t="str">
        <f t="shared" si="0"/>
        <v>Variovorax R.M5R10</v>
      </c>
      <c r="B36" s="42" t="s">
        <v>208</v>
      </c>
      <c r="C36" s="11" t="s">
        <v>178</v>
      </c>
      <c r="D36" s="11" t="s">
        <v>61</v>
      </c>
      <c r="E36" s="13" t="s">
        <v>62</v>
      </c>
      <c r="F36" s="15">
        <v>961</v>
      </c>
      <c r="G36" s="13" t="s">
        <v>94</v>
      </c>
      <c r="H36" s="46" t="s">
        <v>280</v>
      </c>
      <c r="I36" s="15" t="s">
        <v>183</v>
      </c>
      <c r="J36" s="16" t="s">
        <v>325</v>
      </c>
      <c r="K36" s="17" t="s">
        <v>183</v>
      </c>
      <c r="L36" s="29" t="s">
        <v>182</v>
      </c>
      <c r="M36" s="11"/>
      <c r="N36" s="11"/>
      <c r="R36" s="11"/>
      <c r="Z36" s="14" t="s">
        <v>95</v>
      </c>
    </row>
    <row r="37" spans="1:26" x14ac:dyDescent="0.3">
      <c r="A37" s="34" t="str">
        <f t="shared" si="0"/>
        <v>Paenibacillus R.M5R11</v>
      </c>
      <c r="B37" s="42" t="s">
        <v>209</v>
      </c>
      <c r="C37" s="11" t="s">
        <v>180</v>
      </c>
      <c r="D37" s="11" t="s">
        <v>15</v>
      </c>
      <c r="E37" s="13" t="s">
        <v>16</v>
      </c>
      <c r="F37" s="15">
        <v>1049</v>
      </c>
      <c r="G37" s="13" t="s">
        <v>96</v>
      </c>
      <c r="H37" s="46" t="s">
        <v>281</v>
      </c>
      <c r="I37" s="15" t="s">
        <v>183</v>
      </c>
      <c r="J37" s="16" t="s">
        <v>326</v>
      </c>
      <c r="K37" s="17" t="s">
        <v>183</v>
      </c>
      <c r="L37" s="29" t="s">
        <v>183</v>
      </c>
      <c r="M37" s="11"/>
      <c r="N37" s="11"/>
      <c r="R37" s="2"/>
      <c r="Z37" s="14" t="s">
        <v>97</v>
      </c>
    </row>
    <row r="38" spans="1:26" x14ac:dyDescent="0.3">
      <c r="A38" s="34" t="str">
        <f t="shared" si="0"/>
        <v>Caballeronia R.M5R12</v>
      </c>
      <c r="B38" s="42" t="s">
        <v>210</v>
      </c>
      <c r="C38" s="11" t="s">
        <v>178</v>
      </c>
      <c r="D38" s="11" t="s">
        <v>28</v>
      </c>
      <c r="E38" s="13" t="s">
        <v>32</v>
      </c>
      <c r="F38" s="15">
        <v>1111</v>
      </c>
      <c r="G38" s="13" t="s">
        <v>98</v>
      </c>
      <c r="H38" s="46" t="s">
        <v>282</v>
      </c>
      <c r="I38" s="15" t="s">
        <v>183</v>
      </c>
      <c r="J38" s="16" t="s">
        <v>327</v>
      </c>
      <c r="K38" s="17" t="s">
        <v>183</v>
      </c>
      <c r="L38" s="29" t="s">
        <v>182</v>
      </c>
      <c r="M38" s="11"/>
      <c r="N38" s="11"/>
      <c r="R38" s="11"/>
      <c r="Z38" s="14" t="s">
        <v>99</v>
      </c>
    </row>
    <row r="39" spans="1:26" x14ac:dyDescent="0.3">
      <c r="A39" s="34" t="str">
        <f t="shared" si="0"/>
        <v>Paraburkholderia R.M5R14</v>
      </c>
      <c r="B39" s="42" t="s">
        <v>211</v>
      </c>
      <c r="C39" s="11" t="s">
        <v>178</v>
      </c>
      <c r="D39" s="11" t="s">
        <v>28</v>
      </c>
      <c r="E39" s="13" t="s">
        <v>29</v>
      </c>
      <c r="F39" s="15">
        <v>1008</v>
      </c>
      <c r="G39" s="13" t="s">
        <v>100</v>
      </c>
      <c r="H39" s="47">
        <v>1</v>
      </c>
      <c r="I39" s="19" t="s">
        <v>182</v>
      </c>
      <c r="J39" s="16" t="s">
        <v>328</v>
      </c>
      <c r="K39" s="17" t="s">
        <v>183</v>
      </c>
      <c r="L39" s="29" t="s">
        <v>182</v>
      </c>
      <c r="M39" s="11"/>
      <c r="N39" s="11"/>
      <c r="R39" s="11"/>
      <c r="Z39" s="14" t="s">
        <v>101</v>
      </c>
    </row>
    <row r="40" spans="1:26" x14ac:dyDescent="0.3">
      <c r="A40" s="34" t="str">
        <f t="shared" si="0"/>
        <v>Bradyrhizobium R.M5R15</v>
      </c>
      <c r="B40" s="42" t="s">
        <v>212</v>
      </c>
      <c r="C40" s="11" t="s">
        <v>178</v>
      </c>
      <c r="D40" s="11" t="s">
        <v>103</v>
      </c>
      <c r="E40" s="13" t="s">
        <v>104</v>
      </c>
      <c r="F40" s="15">
        <v>1107</v>
      </c>
      <c r="G40" s="13" t="s">
        <v>102</v>
      </c>
      <c r="H40" s="46" t="s">
        <v>282</v>
      </c>
      <c r="I40" s="15" t="s">
        <v>183</v>
      </c>
      <c r="J40" s="16" t="s">
        <v>329</v>
      </c>
      <c r="K40" s="17" t="s">
        <v>183</v>
      </c>
      <c r="L40" s="29" t="s">
        <v>183</v>
      </c>
      <c r="M40" s="11"/>
      <c r="N40" s="11"/>
      <c r="R40" s="11"/>
      <c r="Z40" s="14" t="s">
        <v>105</v>
      </c>
    </row>
    <row r="41" spans="1:26" x14ac:dyDescent="0.3">
      <c r="A41" s="34" t="str">
        <f t="shared" si="0"/>
        <v>Mucilaginibacter R.M5R17</v>
      </c>
      <c r="B41" s="42" t="s">
        <v>213</v>
      </c>
      <c r="C41" s="11" t="s">
        <v>181</v>
      </c>
      <c r="D41" s="11" t="s">
        <v>107</v>
      </c>
      <c r="E41" s="13" t="s">
        <v>108</v>
      </c>
      <c r="F41" s="15">
        <v>1106</v>
      </c>
      <c r="G41" s="13" t="s">
        <v>106</v>
      </c>
      <c r="H41" s="47">
        <v>0.99</v>
      </c>
      <c r="I41" s="15" t="s">
        <v>183</v>
      </c>
      <c r="J41" s="16" t="s">
        <v>330</v>
      </c>
      <c r="K41" s="17" t="s">
        <v>183</v>
      </c>
      <c r="L41" s="29" t="s">
        <v>183</v>
      </c>
      <c r="M41" s="11"/>
      <c r="N41" s="11"/>
      <c r="R41" s="11"/>
      <c r="Z41" s="14" t="s">
        <v>109</v>
      </c>
    </row>
    <row r="42" spans="1:26" x14ac:dyDescent="0.3">
      <c r="A42" s="34" t="str">
        <f t="shared" si="0"/>
        <v>Paenibacillus R.M5R18</v>
      </c>
      <c r="B42" s="42" t="s">
        <v>214</v>
      </c>
      <c r="C42" s="11" t="s">
        <v>180</v>
      </c>
      <c r="D42" s="11" t="s">
        <v>15</v>
      </c>
      <c r="E42" s="13" t="s">
        <v>16</v>
      </c>
      <c r="F42" s="15">
        <v>994</v>
      </c>
      <c r="G42" s="13" t="s">
        <v>110</v>
      </c>
      <c r="H42" s="46" t="s">
        <v>283</v>
      </c>
      <c r="I42" s="19" t="s">
        <v>182</v>
      </c>
      <c r="J42" s="16" t="s">
        <v>331</v>
      </c>
      <c r="K42" s="17" t="s">
        <v>183</v>
      </c>
      <c r="L42" s="29" t="s">
        <v>183</v>
      </c>
      <c r="M42" s="11"/>
      <c r="N42" s="11"/>
      <c r="R42" s="11"/>
      <c r="Z42" s="14" t="s">
        <v>111</v>
      </c>
    </row>
    <row r="43" spans="1:26" x14ac:dyDescent="0.3">
      <c r="A43" s="34" t="str">
        <f t="shared" ref="A43:A78" si="1">CONCATENATE(E43," ",Z43)</f>
        <v>Paenibacillus R.M5R19</v>
      </c>
      <c r="B43" s="42" t="s">
        <v>215</v>
      </c>
      <c r="C43" s="11" t="s">
        <v>180</v>
      </c>
      <c r="D43" s="11" t="s">
        <v>15</v>
      </c>
      <c r="E43" s="12" t="s">
        <v>16</v>
      </c>
      <c r="F43" s="15">
        <v>1087</v>
      </c>
      <c r="G43" s="12" t="s">
        <v>96</v>
      </c>
      <c r="H43" s="46" t="s">
        <v>284</v>
      </c>
      <c r="I43" s="15" t="s">
        <v>183</v>
      </c>
      <c r="J43" s="16" t="s">
        <v>332</v>
      </c>
      <c r="K43" s="17" t="s">
        <v>183</v>
      </c>
      <c r="L43" s="29" t="s">
        <v>183</v>
      </c>
      <c r="M43" s="11"/>
      <c r="N43" s="11"/>
      <c r="R43" s="11"/>
      <c r="Z43" s="14" t="s">
        <v>112</v>
      </c>
    </row>
    <row r="44" spans="1:26" x14ac:dyDescent="0.3">
      <c r="A44" s="34" t="str">
        <f t="shared" si="1"/>
        <v>Mycobacterium R.M5R2</v>
      </c>
      <c r="B44" s="42" t="s">
        <v>216</v>
      </c>
      <c r="C44" s="11" t="s">
        <v>179</v>
      </c>
      <c r="D44" s="11" t="s">
        <v>114</v>
      </c>
      <c r="E44" s="13" t="s">
        <v>115</v>
      </c>
      <c r="F44" s="15">
        <v>1049</v>
      </c>
      <c r="G44" s="13" t="s">
        <v>113</v>
      </c>
      <c r="H44" s="46" t="s">
        <v>285</v>
      </c>
      <c r="I44" s="15" t="s">
        <v>183</v>
      </c>
      <c r="J44" s="16" t="s">
        <v>333</v>
      </c>
      <c r="K44" s="17" t="s">
        <v>183</v>
      </c>
      <c r="L44" s="29" t="s">
        <v>183</v>
      </c>
      <c r="M44" s="11"/>
      <c r="N44" s="11"/>
      <c r="R44" s="11"/>
      <c r="Z44" s="14" t="s">
        <v>116</v>
      </c>
    </row>
    <row r="45" spans="1:26" x14ac:dyDescent="0.3">
      <c r="A45" s="34" t="str">
        <f t="shared" si="1"/>
        <v>Kitasatospora R.M5R3</v>
      </c>
      <c r="B45" s="42" t="s">
        <v>217</v>
      </c>
      <c r="C45" s="11" t="s">
        <v>179</v>
      </c>
      <c r="D45" s="11" t="s">
        <v>23</v>
      </c>
      <c r="E45" s="13" t="s">
        <v>118</v>
      </c>
      <c r="F45" s="15">
        <v>1081</v>
      </c>
      <c r="G45" s="13" t="s">
        <v>117</v>
      </c>
      <c r="H45" s="46" t="s">
        <v>261</v>
      </c>
      <c r="I45" s="15" t="s">
        <v>183</v>
      </c>
      <c r="J45" s="16" t="s">
        <v>334</v>
      </c>
      <c r="K45" s="17" t="s">
        <v>183</v>
      </c>
      <c r="L45" s="29" t="s">
        <v>183</v>
      </c>
      <c r="M45" s="11"/>
      <c r="N45" s="11"/>
      <c r="R45" s="11"/>
      <c r="Z45" s="14" t="s">
        <v>119</v>
      </c>
    </row>
    <row r="46" spans="1:26" x14ac:dyDescent="0.3">
      <c r="A46" s="34" t="str">
        <f t="shared" si="1"/>
        <v>Paenibacillus R.M5R4</v>
      </c>
      <c r="B46" s="42" t="s">
        <v>218</v>
      </c>
      <c r="C46" s="11" t="s">
        <v>180</v>
      </c>
      <c r="D46" s="11" t="s">
        <v>15</v>
      </c>
      <c r="E46" s="12" t="s">
        <v>16</v>
      </c>
      <c r="F46" s="15">
        <v>1097</v>
      </c>
      <c r="G46" s="12" t="s">
        <v>120</v>
      </c>
      <c r="H46" s="46" t="s">
        <v>286</v>
      </c>
      <c r="I46" s="15" t="s">
        <v>183</v>
      </c>
      <c r="J46" s="16" t="s">
        <v>335</v>
      </c>
      <c r="K46" s="17" t="s">
        <v>183</v>
      </c>
      <c r="L46" s="29" t="s">
        <v>183</v>
      </c>
      <c r="M46" s="11"/>
      <c r="N46" s="11"/>
      <c r="R46" s="11"/>
      <c r="Z46" s="14" t="s">
        <v>121</v>
      </c>
    </row>
    <row r="47" spans="1:26" x14ac:dyDescent="0.3">
      <c r="A47" s="34" t="str">
        <f t="shared" si="1"/>
        <v>Bacillus R.M5R5</v>
      </c>
      <c r="B47" s="42" t="s">
        <v>219</v>
      </c>
      <c r="C47" s="11" t="s">
        <v>180</v>
      </c>
      <c r="D47" s="11" t="s">
        <v>20</v>
      </c>
      <c r="E47" s="13" t="s">
        <v>21</v>
      </c>
      <c r="F47" s="15">
        <v>992</v>
      </c>
      <c r="G47" s="13" t="s">
        <v>30</v>
      </c>
      <c r="H47" s="47">
        <v>1</v>
      </c>
      <c r="I47" s="15" t="s">
        <v>183</v>
      </c>
      <c r="J47" s="16" t="s">
        <v>336</v>
      </c>
      <c r="K47" s="18" t="s">
        <v>182</v>
      </c>
      <c r="L47" s="29" t="s">
        <v>183</v>
      </c>
      <c r="M47" s="11"/>
      <c r="N47" s="11"/>
      <c r="R47" s="11"/>
      <c r="Z47" s="14" t="s">
        <v>122</v>
      </c>
    </row>
    <row r="48" spans="1:26" x14ac:dyDescent="0.3">
      <c r="A48" s="34" t="str">
        <f t="shared" si="1"/>
        <v>Streptomyces R.M5R6</v>
      </c>
      <c r="B48" s="42" t="s">
        <v>220</v>
      </c>
      <c r="C48" s="11" t="s">
        <v>179</v>
      </c>
      <c r="D48" s="11" t="s">
        <v>23</v>
      </c>
      <c r="E48" s="13" t="s">
        <v>24</v>
      </c>
      <c r="F48" s="15">
        <v>1052</v>
      </c>
      <c r="G48" s="13" t="s">
        <v>123</v>
      </c>
      <c r="H48" s="47" t="s">
        <v>285</v>
      </c>
      <c r="I48" s="15" t="s">
        <v>183</v>
      </c>
      <c r="J48" s="16" t="s">
        <v>333</v>
      </c>
      <c r="K48" s="17" t="s">
        <v>183</v>
      </c>
      <c r="L48" s="29" t="s">
        <v>183</v>
      </c>
      <c r="M48" s="11"/>
      <c r="N48" s="11"/>
      <c r="R48" s="11"/>
      <c r="Z48" s="14" t="s">
        <v>124</v>
      </c>
    </row>
    <row r="49" spans="1:26" x14ac:dyDescent="0.3">
      <c r="A49" s="34" t="str">
        <f t="shared" si="1"/>
        <v>Bacillus R.M5R7</v>
      </c>
      <c r="B49" s="42" t="s">
        <v>221</v>
      </c>
      <c r="C49" s="11" t="s">
        <v>180</v>
      </c>
      <c r="D49" s="11" t="s">
        <v>20</v>
      </c>
      <c r="E49" s="12" t="s">
        <v>21</v>
      </c>
      <c r="F49" s="15">
        <v>1129</v>
      </c>
      <c r="G49" s="12" t="s">
        <v>91</v>
      </c>
      <c r="H49" s="17" t="s">
        <v>92</v>
      </c>
      <c r="I49" s="15" t="s">
        <v>183</v>
      </c>
      <c r="J49" s="16" t="s">
        <v>337</v>
      </c>
      <c r="K49" s="17" t="s">
        <v>183</v>
      </c>
      <c r="L49" s="29" t="s">
        <v>183</v>
      </c>
      <c r="M49" s="11"/>
      <c r="N49" s="11"/>
      <c r="R49" s="11"/>
      <c r="Z49" s="14" t="s">
        <v>125</v>
      </c>
    </row>
    <row r="50" spans="1:26" x14ac:dyDescent="0.3">
      <c r="A50" s="34" t="str">
        <f t="shared" si="1"/>
        <v>Rhizobium R.M5R8</v>
      </c>
      <c r="B50" s="42" t="s">
        <v>222</v>
      </c>
      <c r="C50" s="11" t="s">
        <v>178</v>
      </c>
      <c r="D50" s="11" t="s">
        <v>56</v>
      </c>
      <c r="E50" s="13" t="s">
        <v>57</v>
      </c>
      <c r="F50" s="15">
        <v>1044</v>
      </c>
      <c r="G50" s="13" t="s">
        <v>64</v>
      </c>
      <c r="H50" s="46" t="s">
        <v>264</v>
      </c>
      <c r="I50" s="19" t="s">
        <v>182</v>
      </c>
      <c r="J50" s="16" t="s">
        <v>338</v>
      </c>
      <c r="K50" s="17" t="s">
        <v>183</v>
      </c>
      <c r="L50" s="29" t="s">
        <v>183</v>
      </c>
      <c r="M50" s="11"/>
      <c r="N50" s="11"/>
      <c r="R50" s="11"/>
      <c r="Z50" s="14" t="s">
        <v>126</v>
      </c>
    </row>
    <row r="51" spans="1:26" x14ac:dyDescent="0.3">
      <c r="A51" s="34" t="str">
        <f t="shared" si="1"/>
        <v>Bradyrhizobium R.M5R9</v>
      </c>
      <c r="B51" s="42" t="s">
        <v>223</v>
      </c>
      <c r="C51" s="11" t="s">
        <v>178</v>
      </c>
      <c r="D51" s="11" t="s">
        <v>103</v>
      </c>
      <c r="E51" s="13" t="s">
        <v>104</v>
      </c>
      <c r="F51" s="15">
        <v>938</v>
      </c>
      <c r="G51" s="13" t="s">
        <v>102</v>
      </c>
      <c r="H51" s="47">
        <v>1</v>
      </c>
      <c r="I51" s="15" t="s">
        <v>183</v>
      </c>
      <c r="J51" s="16">
        <v>0</v>
      </c>
      <c r="K51" s="17" t="s">
        <v>183</v>
      </c>
      <c r="L51" s="29" t="s">
        <v>183</v>
      </c>
      <c r="M51" s="11"/>
      <c r="N51" s="11"/>
      <c r="R51" s="11"/>
      <c r="Z51" s="14" t="s">
        <v>127</v>
      </c>
    </row>
    <row r="52" spans="1:26" x14ac:dyDescent="0.3">
      <c r="A52" s="34" t="str">
        <f t="shared" si="1"/>
        <v>Sphingomonas T.M1R3</v>
      </c>
      <c r="B52" s="42" t="s">
        <v>224</v>
      </c>
      <c r="C52" s="11" t="s">
        <v>178</v>
      </c>
      <c r="D52" s="11" t="s">
        <v>41</v>
      </c>
      <c r="E52" s="12" t="s">
        <v>42</v>
      </c>
      <c r="F52" s="15">
        <v>1041</v>
      </c>
      <c r="G52" s="12" t="s">
        <v>40</v>
      </c>
      <c r="H52" s="46" t="s">
        <v>281</v>
      </c>
      <c r="I52" s="15" t="s">
        <v>183</v>
      </c>
      <c r="J52" s="16" t="s">
        <v>322</v>
      </c>
      <c r="K52" s="17" t="s">
        <v>183</v>
      </c>
      <c r="L52" s="29" t="s">
        <v>183</v>
      </c>
      <c r="M52" s="11"/>
      <c r="N52" s="11"/>
      <c r="R52" s="11"/>
      <c r="Z52" s="14" t="s">
        <v>128</v>
      </c>
    </row>
    <row r="53" spans="1:26" x14ac:dyDescent="0.3">
      <c r="A53" s="34" t="str">
        <f t="shared" si="1"/>
        <v>Bacillus T.M2R1</v>
      </c>
      <c r="B53" s="42" t="s">
        <v>225</v>
      </c>
      <c r="C53" s="11" t="s">
        <v>180</v>
      </c>
      <c r="D53" s="11" t="s">
        <v>20</v>
      </c>
      <c r="E53" s="13" t="s">
        <v>21</v>
      </c>
      <c r="F53" s="15">
        <v>1017</v>
      </c>
      <c r="G53" s="13" t="s">
        <v>75</v>
      </c>
      <c r="H53" s="47">
        <v>1</v>
      </c>
      <c r="I53" s="19" t="s">
        <v>182</v>
      </c>
      <c r="J53" s="16" t="s">
        <v>339</v>
      </c>
      <c r="K53" s="18" t="s">
        <v>182</v>
      </c>
      <c r="L53" s="29" t="s">
        <v>183</v>
      </c>
      <c r="M53" s="11"/>
      <c r="N53" s="11"/>
      <c r="R53" s="11"/>
      <c r="Z53" s="14" t="s">
        <v>129</v>
      </c>
    </row>
    <row r="54" spans="1:26" x14ac:dyDescent="0.3">
      <c r="A54" s="34" t="str">
        <f t="shared" si="1"/>
        <v>Streptomyces T.M2R13</v>
      </c>
      <c r="B54" s="42" t="s">
        <v>226</v>
      </c>
      <c r="C54" s="11" t="s">
        <v>179</v>
      </c>
      <c r="D54" s="11" t="s">
        <v>23</v>
      </c>
      <c r="E54" s="12" t="s">
        <v>24</v>
      </c>
      <c r="F54" s="15">
        <v>1031</v>
      </c>
      <c r="G54" s="12" t="s">
        <v>130</v>
      </c>
      <c r="H54" s="46" t="s">
        <v>287</v>
      </c>
      <c r="I54" s="15" t="s">
        <v>183</v>
      </c>
      <c r="J54" s="16" t="s">
        <v>322</v>
      </c>
      <c r="K54" s="17" t="s">
        <v>182</v>
      </c>
      <c r="L54" s="29" t="s">
        <v>183</v>
      </c>
      <c r="M54" s="11"/>
      <c r="N54" s="11"/>
      <c r="R54" s="11"/>
      <c r="Z54" s="14" t="s">
        <v>131</v>
      </c>
    </row>
    <row r="55" spans="1:26" x14ac:dyDescent="0.3">
      <c r="A55" s="34" t="str">
        <f t="shared" si="1"/>
        <v>Streptomyces T.M2R14</v>
      </c>
      <c r="B55" s="42" t="s">
        <v>227</v>
      </c>
      <c r="C55" s="11" t="s">
        <v>179</v>
      </c>
      <c r="D55" s="11" t="s">
        <v>23</v>
      </c>
      <c r="E55" s="12" t="s">
        <v>24</v>
      </c>
      <c r="F55" s="15">
        <v>1079</v>
      </c>
      <c r="G55" s="12" t="s">
        <v>132</v>
      </c>
      <c r="H55" s="46" t="s">
        <v>288</v>
      </c>
      <c r="I55" s="15" t="s">
        <v>183</v>
      </c>
      <c r="J55" s="16">
        <v>0</v>
      </c>
      <c r="K55" s="17" t="s">
        <v>183</v>
      </c>
      <c r="L55" s="29" t="s">
        <v>183</v>
      </c>
      <c r="M55" s="11"/>
      <c r="N55" s="11"/>
      <c r="R55" s="11"/>
      <c r="Z55" s="14" t="s">
        <v>133</v>
      </c>
    </row>
    <row r="56" spans="1:26" x14ac:dyDescent="0.3">
      <c r="A56" s="34" t="str">
        <f t="shared" si="1"/>
        <v>Rahnella T.M2R17</v>
      </c>
      <c r="B56" s="42" t="s">
        <v>228</v>
      </c>
      <c r="C56" s="11" t="s">
        <v>178</v>
      </c>
      <c r="D56" s="11" t="s">
        <v>135</v>
      </c>
      <c r="E56" s="12" t="s">
        <v>136</v>
      </c>
      <c r="F56" s="15">
        <v>1118</v>
      </c>
      <c r="G56" s="12" t="s">
        <v>134</v>
      </c>
      <c r="H56" s="46" t="s">
        <v>288</v>
      </c>
      <c r="I56" s="19" t="s">
        <v>182</v>
      </c>
      <c r="J56" s="20" t="s">
        <v>340</v>
      </c>
      <c r="K56" s="17" t="s">
        <v>183</v>
      </c>
      <c r="L56" s="29" t="s">
        <v>183</v>
      </c>
      <c r="M56" s="11"/>
      <c r="N56" s="11"/>
      <c r="R56" s="11"/>
      <c r="Z56" s="14" t="s">
        <v>137</v>
      </c>
    </row>
    <row r="57" spans="1:26" x14ac:dyDescent="0.3">
      <c r="A57" s="34" t="str">
        <f t="shared" si="1"/>
        <v>Bacillus T.M2R19</v>
      </c>
      <c r="B57" s="42" t="s">
        <v>229</v>
      </c>
      <c r="C57" s="11" t="s">
        <v>180</v>
      </c>
      <c r="D57" s="11" t="s">
        <v>20</v>
      </c>
      <c r="E57" s="12" t="s">
        <v>21</v>
      </c>
      <c r="F57" s="15">
        <v>1142</v>
      </c>
      <c r="G57" s="12" t="s">
        <v>75</v>
      </c>
      <c r="H57" s="47">
        <v>1</v>
      </c>
      <c r="I57" s="15" t="s">
        <v>183</v>
      </c>
      <c r="J57" s="16" t="s">
        <v>341</v>
      </c>
      <c r="K57" s="18" t="s">
        <v>182</v>
      </c>
      <c r="L57" s="29" t="s">
        <v>183</v>
      </c>
      <c r="M57" s="11"/>
      <c r="N57" s="11"/>
      <c r="R57" s="11"/>
      <c r="Z57" s="14" t="s">
        <v>138</v>
      </c>
    </row>
    <row r="58" spans="1:26" x14ac:dyDescent="0.3">
      <c r="A58" s="34" t="str">
        <f t="shared" si="1"/>
        <v>Micrococcus T.M2R2</v>
      </c>
      <c r="B58" s="42" t="s">
        <v>230</v>
      </c>
      <c r="C58" s="11" t="s">
        <v>179</v>
      </c>
      <c r="D58" s="11" t="s">
        <v>12</v>
      </c>
      <c r="E58" s="13" t="s">
        <v>13</v>
      </c>
      <c r="F58" s="15">
        <v>1063</v>
      </c>
      <c r="G58" s="13" t="s">
        <v>14</v>
      </c>
      <c r="H58" s="46" t="s">
        <v>264</v>
      </c>
      <c r="I58" s="15" t="s">
        <v>183</v>
      </c>
      <c r="J58" s="16" t="s">
        <v>342</v>
      </c>
      <c r="K58" s="18" t="s">
        <v>182</v>
      </c>
      <c r="L58" s="29" t="s">
        <v>183</v>
      </c>
      <c r="M58" s="11"/>
      <c r="N58" s="11"/>
      <c r="R58" s="11"/>
      <c r="Z58" s="14" t="s">
        <v>139</v>
      </c>
    </row>
    <row r="59" spans="1:26" x14ac:dyDescent="0.3">
      <c r="A59" s="34" t="str">
        <f t="shared" si="1"/>
        <v>Sporosarcina T.M2R20</v>
      </c>
      <c r="B59" s="42" t="s">
        <v>231</v>
      </c>
      <c r="C59" s="11" t="s">
        <v>180</v>
      </c>
      <c r="D59" s="11" t="s">
        <v>26</v>
      </c>
      <c r="E59" s="12" t="s">
        <v>141</v>
      </c>
      <c r="F59" s="15">
        <v>1132</v>
      </c>
      <c r="G59" s="12" t="s">
        <v>140</v>
      </c>
      <c r="H59" s="46" t="s">
        <v>289</v>
      </c>
      <c r="I59" s="15" t="s">
        <v>183</v>
      </c>
      <c r="J59" s="16" t="s">
        <v>343</v>
      </c>
      <c r="K59" s="17" t="s">
        <v>183</v>
      </c>
      <c r="L59" s="29" t="s">
        <v>183</v>
      </c>
      <c r="M59" s="11"/>
      <c r="N59" s="11"/>
      <c r="R59" s="11"/>
      <c r="Z59" s="14" t="s">
        <v>142</v>
      </c>
    </row>
    <row r="60" spans="1:26" x14ac:dyDescent="0.3">
      <c r="A60" s="34" t="str">
        <f t="shared" si="1"/>
        <v>Nocardia T.M2R21</v>
      </c>
      <c r="B60" s="42" t="s">
        <v>232</v>
      </c>
      <c r="C60" s="11" t="s">
        <v>179</v>
      </c>
      <c r="D60" s="11" t="s">
        <v>144</v>
      </c>
      <c r="E60" s="13" t="s">
        <v>145</v>
      </c>
      <c r="F60" s="15">
        <v>1109</v>
      </c>
      <c r="G60" s="13" t="s">
        <v>143</v>
      </c>
      <c r="H60" s="46" t="s">
        <v>290</v>
      </c>
      <c r="I60" s="15" t="s">
        <v>183</v>
      </c>
      <c r="J60" s="16" t="s">
        <v>316</v>
      </c>
      <c r="K60" s="17" t="s">
        <v>183</v>
      </c>
      <c r="L60" s="29" t="s">
        <v>183</v>
      </c>
      <c r="M60" s="11"/>
      <c r="N60" s="11"/>
      <c r="R60" s="11"/>
      <c r="Z60" s="14" t="s">
        <v>146</v>
      </c>
    </row>
    <row r="61" spans="1:26" x14ac:dyDescent="0.3">
      <c r="A61" s="34" t="str">
        <f t="shared" si="1"/>
        <v>Acinetobacter T.M2R22</v>
      </c>
      <c r="B61" s="42" t="s">
        <v>233</v>
      </c>
      <c r="C61" s="11" t="s">
        <v>178</v>
      </c>
      <c r="D61" s="11" t="s">
        <v>11</v>
      </c>
      <c r="E61" s="12" t="s">
        <v>33</v>
      </c>
      <c r="F61" s="15">
        <v>929</v>
      </c>
      <c r="G61" s="12" t="s">
        <v>147</v>
      </c>
      <c r="H61" s="46" t="s">
        <v>276</v>
      </c>
      <c r="I61" s="19" t="s">
        <v>182</v>
      </c>
      <c r="J61" s="20" t="s">
        <v>344</v>
      </c>
      <c r="K61" s="18" t="s">
        <v>182</v>
      </c>
      <c r="L61" s="29" t="s">
        <v>183</v>
      </c>
      <c r="M61" s="11"/>
      <c r="N61" s="11"/>
      <c r="R61" s="11"/>
      <c r="Z61" s="14" t="s">
        <v>148</v>
      </c>
    </row>
    <row r="62" spans="1:26" x14ac:dyDescent="0.3">
      <c r="A62" s="34" t="str">
        <f t="shared" si="1"/>
        <v>Paenibacillus T.M2R24</v>
      </c>
      <c r="B62" s="42" t="s">
        <v>234</v>
      </c>
      <c r="C62" s="11" t="s">
        <v>180</v>
      </c>
      <c r="D62" s="11" t="s">
        <v>15</v>
      </c>
      <c r="E62" s="13" t="s">
        <v>16</v>
      </c>
      <c r="F62" s="15">
        <v>962</v>
      </c>
      <c r="G62" s="13" t="s">
        <v>149</v>
      </c>
      <c r="H62" s="46" t="s">
        <v>291</v>
      </c>
      <c r="I62" s="15" t="s">
        <v>183</v>
      </c>
      <c r="J62" s="16" t="s">
        <v>345</v>
      </c>
      <c r="K62" s="18" t="s">
        <v>182</v>
      </c>
      <c r="L62" s="29" t="s">
        <v>183</v>
      </c>
      <c r="M62" s="11"/>
      <c r="N62" s="11"/>
      <c r="R62" s="11"/>
      <c r="Z62" s="14" t="s">
        <v>150</v>
      </c>
    </row>
    <row r="63" spans="1:26" x14ac:dyDescent="0.3">
      <c r="A63" s="34" t="str">
        <f t="shared" si="1"/>
        <v>Streptomyces T.M2R8</v>
      </c>
      <c r="B63" s="42" t="s">
        <v>235</v>
      </c>
      <c r="C63" s="11" t="s">
        <v>179</v>
      </c>
      <c r="D63" s="11" t="s">
        <v>23</v>
      </c>
      <c r="E63" s="12" t="s">
        <v>24</v>
      </c>
      <c r="F63" s="15">
        <v>923</v>
      </c>
      <c r="G63" s="12" t="s">
        <v>151</v>
      </c>
      <c r="H63" s="46" t="s">
        <v>292</v>
      </c>
      <c r="I63" s="15" t="s">
        <v>183</v>
      </c>
      <c r="J63" s="16" t="s">
        <v>346</v>
      </c>
      <c r="K63" s="17" t="s">
        <v>183</v>
      </c>
      <c r="L63" s="29" t="s">
        <v>183</v>
      </c>
      <c r="M63" s="11"/>
      <c r="N63" s="11"/>
      <c r="R63" s="11"/>
      <c r="Z63" s="14" t="s">
        <v>152</v>
      </c>
    </row>
    <row r="64" spans="1:26" x14ac:dyDescent="0.3">
      <c r="A64" s="34" t="str">
        <f t="shared" si="1"/>
        <v>Streptomyces T.M2R9</v>
      </c>
      <c r="B64" s="42" t="s">
        <v>236</v>
      </c>
      <c r="C64" s="11" t="s">
        <v>179</v>
      </c>
      <c r="D64" s="11" t="s">
        <v>23</v>
      </c>
      <c r="E64" s="12" t="s">
        <v>24</v>
      </c>
      <c r="F64" s="15">
        <v>966</v>
      </c>
      <c r="G64" s="12" t="s">
        <v>22</v>
      </c>
      <c r="H64" s="46" t="s">
        <v>293</v>
      </c>
      <c r="I64" s="15" t="s">
        <v>183</v>
      </c>
      <c r="J64" s="16" t="s">
        <v>347</v>
      </c>
      <c r="K64" s="17" t="s">
        <v>183</v>
      </c>
      <c r="L64" s="29" t="s">
        <v>183</v>
      </c>
      <c r="M64" s="11"/>
      <c r="N64" s="11"/>
      <c r="R64" s="11"/>
      <c r="Z64" s="14" t="s">
        <v>153</v>
      </c>
    </row>
    <row r="65" spans="1:26" x14ac:dyDescent="0.3">
      <c r="A65" s="34" t="str">
        <f t="shared" si="1"/>
        <v>Bacillus T.M3R1</v>
      </c>
      <c r="B65" s="42" t="s">
        <v>237</v>
      </c>
      <c r="C65" s="11" t="s">
        <v>180</v>
      </c>
      <c r="D65" s="11" t="s">
        <v>20</v>
      </c>
      <c r="E65" s="13" t="s">
        <v>21</v>
      </c>
      <c r="F65" s="15">
        <v>1053</v>
      </c>
      <c r="G65" s="13" t="s">
        <v>154</v>
      </c>
      <c r="H65" s="46" t="s">
        <v>287</v>
      </c>
      <c r="I65" s="15" t="s">
        <v>183</v>
      </c>
      <c r="J65" s="16" t="s">
        <v>348</v>
      </c>
      <c r="K65" s="17" t="s">
        <v>183</v>
      </c>
      <c r="L65" s="29" t="s">
        <v>183</v>
      </c>
      <c r="M65" s="11"/>
      <c r="N65" s="11"/>
      <c r="R65" s="11"/>
      <c r="Z65" s="14" t="s">
        <v>155</v>
      </c>
    </row>
    <row r="66" spans="1:26" x14ac:dyDescent="0.3">
      <c r="A66" s="34" t="str">
        <f t="shared" si="1"/>
        <v>Paenibacillus T.M3R11</v>
      </c>
      <c r="B66" s="42" t="s">
        <v>238</v>
      </c>
      <c r="C66" s="11" t="s">
        <v>180</v>
      </c>
      <c r="D66" s="11" t="s">
        <v>15</v>
      </c>
      <c r="E66" s="13" t="s">
        <v>16</v>
      </c>
      <c r="F66" s="15">
        <v>1063</v>
      </c>
      <c r="G66" s="13" t="s">
        <v>25</v>
      </c>
      <c r="H66" s="46" t="s">
        <v>293</v>
      </c>
      <c r="I66" s="15" t="s">
        <v>183</v>
      </c>
      <c r="J66" s="16" t="s">
        <v>349</v>
      </c>
      <c r="K66" s="17" t="s">
        <v>183</v>
      </c>
      <c r="L66" s="29" t="s">
        <v>183</v>
      </c>
      <c r="M66" s="11"/>
      <c r="N66" s="11"/>
      <c r="R66" s="11"/>
      <c r="Z66" s="14" t="s">
        <v>156</v>
      </c>
    </row>
    <row r="67" spans="1:26" x14ac:dyDescent="0.3">
      <c r="A67" s="34" t="str">
        <f t="shared" si="1"/>
        <v>Bacillus T.M3R18</v>
      </c>
      <c r="B67" s="42" t="s">
        <v>239</v>
      </c>
      <c r="C67" s="11" t="s">
        <v>180</v>
      </c>
      <c r="D67" s="11" t="s">
        <v>20</v>
      </c>
      <c r="E67" s="13" t="s">
        <v>21</v>
      </c>
      <c r="F67" s="15">
        <v>927</v>
      </c>
      <c r="G67" s="13" t="s">
        <v>157</v>
      </c>
      <c r="H67" s="46" t="s">
        <v>294</v>
      </c>
      <c r="I67" s="15" t="s">
        <v>183</v>
      </c>
      <c r="J67" s="16" t="s">
        <v>350</v>
      </c>
      <c r="K67" s="17" t="s">
        <v>183</v>
      </c>
      <c r="L67" s="29" t="s">
        <v>183</v>
      </c>
      <c r="M67" s="11"/>
      <c r="N67" s="11"/>
      <c r="R67" s="11"/>
      <c r="Z67" s="14" t="s">
        <v>158</v>
      </c>
    </row>
    <row r="68" spans="1:26" x14ac:dyDescent="0.3">
      <c r="A68" s="34" t="str">
        <f t="shared" si="1"/>
        <v>Streptomyces T.M3R23</v>
      </c>
      <c r="B68" s="42" t="s">
        <v>240</v>
      </c>
      <c r="C68" s="11" t="s">
        <v>179</v>
      </c>
      <c r="D68" s="11" t="s">
        <v>23</v>
      </c>
      <c r="E68" s="13" t="s">
        <v>24</v>
      </c>
      <c r="F68" s="15">
        <v>1092</v>
      </c>
      <c r="G68" s="13" t="s">
        <v>159</v>
      </c>
      <c r="H68" s="46" t="s">
        <v>295</v>
      </c>
      <c r="I68" s="15" t="s">
        <v>183</v>
      </c>
      <c r="J68" s="16" t="s">
        <v>351</v>
      </c>
      <c r="K68" s="17" t="s">
        <v>183</v>
      </c>
      <c r="L68" s="29" t="s">
        <v>183</v>
      </c>
      <c r="M68" s="11"/>
      <c r="N68" s="11"/>
      <c r="R68" s="11"/>
      <c r="Z68" s="14" t="s">
        <v>160</v>
      </c>
    </row>
    <row r="69" spans="1:26" x14ac:dyDescent="0.3">
      <c r="A69" s="34" t="str">
        <f t="shared" si="1"/>
        <v>Paenibacillus T.M3R7</v>
      </c>
      <c r="B69" s="42" t="s">
        <v>241</v>
      </c>
      <c r="C69" s="11" t="s">
        <v>180</v>
      </c>
      <c r="D69" s="11" t="s">
        <v>15</v>
      </c>
      <c r="E69" s="13" t="s">
        <v>16</v>
      </c>
      <c r="F69" s="15">
        <v>962</v>
      </c>
      <c r="G69" s="13" t="s">
        <v>161</v>
      </c>
      <c r="H69" s="17" t="s">
        <v>162</v>
      </c>
      <c r="I69" s="15" t="s">
        <v>183</v>
      </c>
      <c r="J69" s="16" t="s">
        <v>352</v>
      </c>
      <c r="K69" s="18" t="s">
        <v>182</v>
      </c>
      <c r="L69" s="29" t="s">
        <v>183</v>
      </c>
      <c r="M69" s="11"/>
      <c r="N69" s="11"/>
      <c r="R69" s="11"/>
      <c r="Z69" s="14" t="s">
        <v>163</v>
      </c>
    </row>
    <row r="70" spans="1:26" x14ac:dyDescent="0.3">
      <c r="A70" s="34" t="str">
        <f t="shared" si="1"/>
        <v>Bacillus T.M3R8</v>
      </c>
      <c r="B70" s="42" t="s">
        <v>242</v>
      </c>
      <c r="C70" s="11" t="s">
        <v>180</v>
      </c>
      <c r="D70" s="11" t="s">
        <v>20</v>
      </c>
      <c r="E70" s="13" t="s">
        <v>21</v>
      </c>
      <c r="F70" s="15">
        <v>853</v>
      </c>
      <c r="G70" s="13" t="s">
        <v>154</v>
      </c>
      <c r="H70" s="46" t="s">
        <v>296</v>
      </c>
      <c r="I70" s="15" t="s">
        <v>183</v>
      </c>
      <c r="J70" s="37">
        <v>0</v>
      </c>
      <c r="K70" s="17" t="s">
        <v>183</v>
      </c>
      <c r="L70" s="29" t="s">
        <v>183</v>
      </c>
      <c r="M70" s="11"/>
      <c r="N70" s="11"/>
      <c r="R70" s="11"/>
      <c r="Z70" s="14" t="s">
        <v>164</v>
      </c>
    </row>
    <row r="71" spans="1:26" x14ac:dyDescent="0.3">
      <c r="A71" s="34" t="str">
        <f t="shared" si="1"/>
        <v>Paenibacillus T.M3R9</v>
      </c>
      <c r="B71" s="42" t="s">
        <v>243</v>
      </c>
      <c r="C71" s="11" t="s">
        <v>180</v>
      </c>
      <c r="D71" s="11" t="s">
        <v>15</v>
      </c>
      <c r="E71" s="13" t="s">
        <v>16</v>
      </c>
      <c r="F71" s="15">
        <v>1023</v>
      </c>
      <c r="G71" s="13" t="s">
        <v>79</v>
      </c>
      <c r="H71" s="46" t="s">
        <v>273</v>
      </c>
      <c r="I71" s="15" t="s">
        <v>183</v>
      </c>
      <c r="J71" s="20" t="s">
        <v>353</v>
      </c>
      <c r="K71" s="17" t="s">
        <v>182</v>
      </c>
      <c r="L71" s="29" t="s">
        <v>183</v>
      </c>
      <c r="M71" s="11"/>
      <c r="N71" s="11"/>
      <c r="R71" s="11"/>
      <c r="Z71" s="14" t="s">
        <v>165</v>
      </c>
    </row>
    <row r="72" spans="1:26" x14ac:dyDescent="0.3">
      <c r="A72" s="34" t="str">
        <f t="shared" si="1"/>
        <v>Rhodococcus T.M4R1</v>
      </c>
      <c r="B72" s="42" t="s">
        <v>244</v>
      </c>
      <c r="C72" s="11" t="s">
        <v>179</v>
      </c>
      <c r="D72" s="11" t="s">
        <v>144</v>
      </c>
      <c r="E72" s="13" t="s">
        <v>167</v>
      </c>
      <c r="F72" s="15">
        <v>1052</v>
      </c>
      <c r="G72" s="13" t="s">
        <v>166</v>
      </c>
      <c r="H72" s="46" t="s">
        <v>273</v>
      </c>
      <c r="I72" s="15" t="s">
        <v>183</v>
      </c>
      <c r="J72" s="20" t="s">
        <v>354</v>
      </c>
      <c r="K72" s="17" t="s">
        <v>183</v>
      </c>
      <c r="L72" s="29" t="s">
        <v>183</v>
      </c>
      <c r="M72" s="11"/>
      <c r="N72" s="11"/>
      <c r="R72" s="11"/>
      <c r="Z72" s="14" t="s">
        <v>168</v>
      </c>
    </row>
    <row r="73" spans="1:26" x14ac:dyDescent="0.3">
      <c r="A73" s="34" t="str">
        <f t="shared" si="1"/>
        <v>Lysinibacillus T.M4R11</v>
      </c>
      <c r="B73" s="42" t="s">
        <v>245</v>
      </c>
      <c r="C73" s="11" t="s">
        <v>180</v>
      </c>
      <c r="D73" s="11" t="s">
        <v>26</v>
      </c>
      <c r="E73" s="13" t="s">
        <v>170</v>
      </c>
      <c r="F73" s="15">
        <v>1069</v>
      </c>
      <c r="G73" s="13" t="s">
        <v>169</v>
      </c>
      <c r="H73" s="46" t="s">
        <v>297</v>
      </c>
      <c r="I73" s="15" t="s">
        <v>183</v>
      </c>
      <c r="J73" s="20" t="s">
        <v>355</v>
      </c>
      <c r="K73" s="18" t="s">
        <v>182</v>
      </c>
      <c r="L73" s="29" t="s">
        <v>183</v>
      </c>
      <c r="M73" s="11"/>
      <c r="N73" s="11"/>
      <c r="R73" s="11"/>
      <c r="Z73" s="14" t="s">
        <v>171</v>
      </c>
    </row>
    <row r="74" spans="1:26" x14ac:dyDescent="0.3">
      <c r="A74" s="34" t="str">
        <f t="shared" si="1"/>
        <v>Rhodococcus T.M4R4</v>
      </c>
      <c r="B74" s="42" t="s">
        <v>246</v>
      </c>
      <c r="C74" s="11" t="s">
        <v>179</v>
      </c>
      <c r="D74" s="11" t="s">
        <v>144</v>
      </c>
      <c r="E74" s="13" t="s">
        <v>167</v>
      </c>
      <c r="F74" s="15">
        <v>1050</v>
      </c>
      <c r="G74" s="13" t="s">
        <v>166</v>
      </c>
      <c r="H74" s="47" t="s">
        <v>273</v>
      </c>
      <c r="I74" s="15" t="s">
        <v>183</v>
      </c>
      <c r="J74" s="20" t="s">
        <v>356</v>
      </c>
      <c r="K74" s="18" t="s">
        <v>182</v>
      </c>
      <c r="L74" s="29" t="s">
        <v>183</v>
      </c>
      <c r="M74" s="11"/>
      <c r="N74" s="11"/>
      <c r="R74" s="11"/>
      <c r="Z74" s="14" t="s">
        <v>172</v>
      </c>
    </row>
    <row r="75" spans="1:26" x14ac:dyDescent="0.3">
      <c r="A75" s="34" t="str">
        <f t="shared" si="1"/>
        <v>Paracoccus T.M5R2</v>
      </c>
      <c r="B75" s="42" t="s">
        <v>247</v>
      </c>
      <c r="C75" s="11" t="s">
        <v>178</v>
      </c>
      <c r="D75" s="11" t="s">
        <v>18</v>
      </c>
      <c r="E75" s="13" t="s">
        <v>19</v>
      </c>
      <c r="F75" s="15">
        <v>1114</v>
      </c>
      <c r="G75" s="13" t="s">
        <v>17</v>
      </c>
      <c r="H75" s="46" t="s">
        <v>298</v>
      </c>
      <c r="I75" s="15" t="s">
        <v>183</v>
      </c>
      <c r="J75" s="16" t="s">
        <v>357</v>
      </c>
      <c r="K75" s="18" t="s">
        <v>182</v>
      </c>
      <c r="L75" s="29" t="s">
        <v>183</v>
      </c>
      <c r="M75" s="11"/>
      <c r="N75" s="11"/>
      <c r="R75" s="11"/>
      <c r="Z75" s="14" t="s">
        <v>173</v>
      </c>
    </row>
    <row r="76" spans="1:26" x14ac:dyDescent="0.3">
      <c r="A76" s="34" t="str">
        <f t="shared" si="1"/>
        <v>Lysinibacillus T.M5R3</v>
      </c>
      <c r="B76" s="42" t="s">
        <v>248</v>
      </c>
      <c r="C76" s="11" t="s">
        <v>180</v>
      </c>
      <c r="D76" s="11" t="s">
        <v>26</v>
      </c>
      <c r="E76" s="12" t="s">
        <v>170</v>
      </c>
      <c r="F76" s="15">
        <v>972</v>
      </c>
      <c r="G76" s="12" t="s">
        <v>174</v>
      </c>
      <c r="H76" s="47">
        <v>0.99</v>
      </c>
      <c r="I76" s="15" t="s">
        <v>183</v>
      </c>
      <c r="J76" s="16" t="s">
        <v>358</v>
      </c>
      <c r="K76" s="18" t="s">
        <v>182</v>
      </c>
      <c r="L76" s="29" t="s">
        <v>182</v>
      </c>
      <c r="M76" s="11"/>
      <c r="N76" s="11"/>
      <c r="R76" s="11"/>
      <c r="Z76" s="14" t="s">
        <v>175</v>
      </c>
    </row>
    <row r="77" spans="1:26" x14ac:dyDescent="0.3">
      <c r="A77" s="34" t="str">
        <f t="shared" si="1"/>
        <v>Paenibacillus T.M5R4</v>
      </c>
      <c r="B77" s="42" t="s">
        <v>249</v>
      </c>
      <c r="C77" s="11" t="s">
        <v>180</v>
      </c>
      <c r="D77" s="11" t="s">
        <v>15</v>
      </c>
      <c r="E77" s="12" t="s">
        <v>16</v>
      </c>
      <c r="F77" s="15">
        <v>1227</v>
      </c>
      <c r="G77" s="12" t="s">
        <v>25</v>
      </c>
      <c r="H77" s="46" t="s">
        <v>299</v>
      </c>
      <c r="I77" s="15" t="s">
        <v>183</v>
      </c>
      <c r="J77" s="20" t="s">
        <v>359</v>
      </c>
      <c r="K77" s="17" t="s">
        <v>183</v>
      </c>
      <c r="L77" s="29" t="s">
        <v>183</v>
      </c>
      <c r="M77" s="11"/>
      <c r="N77" s="11"/>
      <c r="R77" s="11"/>
      <c r="Z77" s="14" t="s">
        <v>176</v>
      </c>
    </row>
    <row r="78" spans="1:26" x14ac:dyDescent="0.3">
      <c r="A78" s="35" t="str">
        <f t="shared" si="1"/>
        <v>Paenibacillus T.M5R5</v>
      </c>
      <c r="B78" s="43" t="s">
        <v>250</v>
      </c>
      <c r="C78" s="21" t="s">
        <v>180</v>
      </c>
      <c r="D78" s="21" t="s">
        <v>15</v>
      </c>
      <c r="E78" s="22" t="s">
        <v>16</v>
      </c>
      <c r="F78" s="23">
        <v>984</v>
      </c>
      <c r="G78" s="22" t="s">
        <v>25</v>
      </c>
      <c r="H78" s="48" t="s">
        <v>300</v>
      </c>
      <c r="I78" s="23" t="s">
        <v>183</v>
      </c>
      <c r="J78" s="24" t="s">
        <v>360</v>
      </c>
      <c r="K78" s="25" t="s">
        <v>183</v>
      </c>
      <c r="L78" s="30" t="s">
        <v>183</v>
      </c>
      <c r="M78" s="11"/>
      <c r="N78" s="11"/>
      <c r="R78" s="11"/>
      <c r="Z78" s="26" t="s">
        <v>177</v>
      </c>
    </row>
    <row r="79" spans="1:26" ht="15.6" x14ac:dyDescent="0.3">
      <c r="A79" s="51" t="s">
        <v>252</v>
      </c>
    </row>
    <row r="80" spans="1:26" x14ac:dyDescent="0.3">
      <c r="A80" t="s">
        <v>253</v>
      </c>
    </row>
    <row r="81" spans="1:1" x14ac:dyDescent="0.3">
      <c r="A81" t="s">
        <v>363</v>
      </c>
    </row>
    <row r="82" spans="1:1" x14ac:dyDescent="0.3">
      <c r="A82" t="s">
        <v>366</v>
      </c>
    </row>
    <row r="83" spans="1:1" x14ac:dyDescent="0.3">
      <c r="A83" t="s">
        <v>365</v>
      </c>
    </row>
    <row r="84" spans="1:1" x14ac:dyDescent="0.3">
      <c r="A84" t="s">
        <v>254</v>
      </c>
    </row>
    <row r="85" spans="1:1" x14ac:dyDescent="0.3">
      <c r="A85" t="s">
        <v>259</v>
      </c>
    </row>
    <row r="86" spans="1:1" x14ac:dyDescent="0.3">
      <c r="A86" s="36" t="s">
        <v>258</v>
      </c>
    </row>
    <row r="87" spans="1:1" x14ac:dyDescent="0.3">
      <c r="A87" t="s">
        <v>255</v>
      </c>
    </row>
    <row r="88" spans="1:1" x14ac:dyDescent="0.3">
      <c r="A88" t="s">
        <v>256</v>
      </c>
    </row>
    <row r="89" spans="1:1" x14ac:dyDescent="0.3">
      <c r="A89" t="s">
        <v>257</v>
      </c>
    </row>
    <row r="91" spans="1:1" x14ac:dyDescent="0.3">
      <c r="A91" t="s">
        <v>260</v>
      </c>
    </row>
  </sheetData>
  <mergeCells count="4">
    <mergeCell ref="I9:L9"/>
    <mergeCell ref="M9:R9"/>
    <mergeCell ref="C9:E9"/>
    <mergeCell ref="F9:H9"/>
  </mergeCells>
  <hyperlinks>
    <hyperlink ref="E30" r:id="rId1" location="alnHdr_636559007" tooltip="Go to alignment for [Brevibacterium] frigoritolerans strain DSM 8801 16S ribosomal RNA gene, complete sequence &gt;emb|AM747813.1| [Brevibacterium] frigoritolerans 16S rRNA gene, type strain DSM 8801T" display="https://blast.ncbi.nlm.nih.gov/Blast.cgi - alnHdr_636559007" xr:uid="{90639B3C-D45F-43C7-BB20-04A85FC19C47}"/>
    <hyperlink ref="E15" r:id="rId2" display="http://www.ezbiocloud.net/taxonomy?tn=Mesorhizobium%20qingshengii" xr:uid="{C84B71F1-CEC0-46B4-8D98-5E1CDD9DA4D4}"/>
    <hyperlink ref="E51" r:id="rId3" location="alnHdr_636560301" tooltip="Go to alignment for Bradyrhizobium rifense strain CTAW71 16S ribosomal RNA gene, partial sequence &gt;gb|EU561074.2| Bradyrhizobium rifense strain CTAW71 16S ribosomal RNA gene, partial sequence" display="https://blast.ncbi.nlm.nih.gov/Blast.cgi - alnHdr_636560301" xr:uid="{519C5954-618E-4802-A6C4-F132848B90CA}"/>
    <hyperlink ref="E48" r:id="rId4" location="alnHdr_265678782" tooltip="Go to alignment for Streptomyces ferralitis strain SFOp68 16S ribosomal RNA gene, partial sequence &gt;gb|AY262826.1| Streptomyces ferralitis 16S ribosomal RNA gene, partial sequence" display="https://blast.ncbi.nlm.nih.gov/Blast.cgi - alnHdr_265678782" xr:uid="{6528564A-5A32-44EB-8766-E64927B711DF}"/>
    <hyperlink ref="G30" r:id="rId5" location="alnHdr_636559007" tooltip="Go to alignment for [Brevibacterium] frigoritolerans strain DSM 8801 16S ribosomal RNA gene, complete sequence &gt;emb|AM747813.1| [Brevibacterium] frigoritolerans 16S rRNA gene, type strain DSM 8801T" display="https://blast.ncbi.nlm.nih.gov/Blast.cgi - alnHdr_636559007" xr:uid="{01ACA5BB-26D2-4631-8D08-C4D3C6740CB1}"/>
    <hyperlink ref="G15" r:id="rId6" display="http://www.ezbiocloud.net/taxonomy?tn=Mesorhizobium%20qingshengii" xr:uid="{C18A04D9-F95B-4F38-9772-DF29689EBF8E}"/>
    <hyperlink ref="G51" r:id="rId7" location="alnHdr_636560301" tooltip="Go to alignment for Bradyrhizobium rifense strain CTAW71 16S ribosomal RNA gene, partial sequence &gt;gb|EU561074.2| Bradyrhizobium rifense strain CTAW71 16S ribosomal RNA gene, partial sequence" display="https://blast.ncbi.nlm.nih.gov/Blast.cgi - alnHdr_636560301" xr:uid="{3F63A317-17EF-4258-B169-173C0C338917}"/>
    <hyperlink ref="G48" r:id="rId8" location="alnHdr_265678782" tooltip="Go to alignment for Streptomyces ferralitis strain SFOp68 16S ribosomal RNA gene, partial sequence &gt;gb|AY262826.1| Streptomyces ferralitis 16S ribosomal RNA gene, partial sequence" display="https://blast.ncbi.nlm.nih.gov/Blast.cgi - alnHdr_265678782" xr:uid="{F3BB65FA-42B6-4314-9204-C31CFFBF9447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Leitão</dc:creator>
  <cp:lastModifiedBy>Frederico Leitão</cp:lastModifiedBy>
  <dcterms:created xsi:type="dcterms:W3CDTF">2023-10-24T10:18:10Z</dcterms:created>
  <dcterms:modified xsi:type="dcterms:W3CDTF">2025-05-19T13:31:21Z</dcterms:modified>
</cp:coreProperties>
</file>